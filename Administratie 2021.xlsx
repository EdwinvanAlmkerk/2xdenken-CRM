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78A33350-CADD-48DA-A426-0BC11BE74B07}" xr6:coauthVersionLast="47" xr6:coauthVersionMax="47" xr10:uidLastSave="{00000000-0000-0000-0000-000000000000}"/>
  <bookViews>
    <workbookView xWindow="-110" yWindow="-110" windowWidth="25180" windowHeight="16140" firstSheet="76" activeTab="82" xr2:uid="{E4D5166C-47FE-4355-92CF-A3BF1408AD0F}"/>
  </bookViews>
  <sheets>
    <sheet name="202101" sheetId="130" r:id="rId1"/>
    <sheet name="202102" sheetId="131" r:id="rId2"/>
    <sheet name="202103" sheetId="132" r:id="rId3"/>
    <sheet name="202104" sheetId="133" r:id="rId4"/>
    <sheet name="202105" sheetId="134" r:id="rId5"/>
    <sheet name="202106" sheetId="135" r:id="rId6"/>
    <sheet name="202107" sheetId="136" r:id="rId7"/>
    <sheet name="202108" sheetId="129" r:id="rId8"/>
    <sheet name="202109" sheetId="138" r:id="rId9"/>
    <sheet name="202110 " sheetId="139" r:id="rId10"/>
    <sheet name="202111" sheetId="140" r:id="rId11"/>
    <sheet name="202112" sheetId="137" r:id="rId12"/>
    <sheet name="212113" sheetId="141" r:id="rId13"/>
    <sheet name="202114" sheetId="143" r:id="rId14"/>
    <sheet name="202115" sheetId="144" r:id="rId15"/>
    <sheet name="202116" sheetId="145" r:id="rId16"/>
    <sheet name="202117" sheetId="142" r:id="rId17"/>
    <sheet name="202118" sheetId="146" r:id="rId18"/>
    <sheet name="202119" sheetId="147" r:id="rId19"/>
    <sheet name="202120" sheetId="148" r:id="rId20"/>
    <sheet name="202121" sheetId="149" r:id="rId21"/>
    <sheet name="202122" sheetId="150" r:id="rId22"/>
    <sheet name="202123 " sheetId="151" r:id="rId23"/>
    <sheet name="202124" sheetId="152" r:id="rId24"/>
    <sheet name="202125" sheetId="153" r:id="rId25"/>
    <sheet name="202126" sheetId="154" r:id="rId26"/>
    <sheet name="202127" sheetId="155" r:id="rId27"/>
    <sheet name="202128" sheetId="156" r:id="rId28"/>
    <sheet name="202129" sheetId="157" r:id="rId29"/>
    <sheet name="202130" sheetId="158" r:id="rId30"/>
    <sheet name="202131" sheetId="159" r:id="rId31"/>
    <sheet name="202132" sheetId="164" r:id="rId32"/>
    <sheet name="202133" sheetId="163" r:id="rId33"/>
    <sheet name="202134" sheetId="165" r:id="rId34"/>
    <sheet name="202135" sheetId="167" r:id="rId35"/>
    <sheet name="202136" sheetId="168" r:id="rId36"/>
    <sheet name="202137" sheetId="169" r:id="rId37"/>
    <sheet name="202138" sheetId="170" r:id="rId38"/>
    <sheet name="202139" sheetId="166" r:id="rId39"/>
    <sheet name="202140" sheetId="172" r:id="rId40"/>
    <sheet name="202141" sheetId="174" r:id="rId41"/>
    <sheet name="202142 " sheetId="175" r:id="rId42"/>
    <sheet name="202143" sheetId="173" r:id="rId43"/>
    <sheet name="202144" sheetId="177" r:id="rId44"/>
    <sheet name="202145" sheetId="176" r:id="rId45"/>
    <sheet name="202146" sheetId="178" r:id="rId46"/>
    <sheet name="202147" sheetId="180" r:id="rId47"/>
    <sheet name="202148" sheetId="181" r:id="rId48"/>
    <sheet name="202149" sheetId="182" r:id="rId49"/>
    <sheet name="202150" sheetId="183" r:id="rId50"/>
    <sheet name="202151" sheetId="184" r:id="rId51"/>
    <sheet name="202152" sheetId="185" r:id="rId52"/>
    <sheet name="202153" sheetId="186" r:id="rId53"/>
    <sheet name="202154" sheetId="187" r:id="rId54"/>
    <sheet name="202155" sheetId="188" r:id="rId55"/>
    <sheet name="202156" sheetId="189" r:id="rId56"/>
    <sheet name="202157" sheetId="190" r:id="rId57"/>
    <sheet name="202158" sheetId="191" r:id="rId58"/>
    <sheet name="202159" sheetId="192" r:id="rId59"/>
    <sheet name="202160" sheetId="193" r:id="rId60"/>
    <sheet name="202161" sheetId="195" r:id="rId61"/>
    <sheet name="202162" sheetId="196" r:id="rId62"/>
    <sheet name="202163" sheetId="197" r:id="rId63"/>
    <sheet name="202164" sheetId="194" r:id="rId64"/>
    <sheet name="202165" sheetId="198" r:id="rId65"/>
    <sheet name="202166" sheetId="199" r:id="rId66"/>
    <sheet name="202167" sheetId="200" r:id="rId67"/>
    <sheet name="202168" sheetId="201" r:id="rId68"/>
    <sheet name="202169" sheetId="202" r:id="rId69"/>
    <sheet name="202170" sheetId="203" r:id="rId70"/>
    <sheet name="202171" sheetId="204" r:id="rId71"/>
    <sheet name="202172" sheetId="205" r:id="rId72"/>
    <sheet name="202173" sheetId="206" r:id="rId73"/>
    <sheet name="202174" sheetId="207" r:id="rId74"/>
    <sheet name="202175" sheetId="208" r:id="rId75"/>
    <sheet name="202176" sheetId="209" r:id="rId76"/>
    <sheet name="202177" sheetId="210" r:id="rId77"/>
    <sheet name="202178" sheetId="212" r:id="rId78"/>
    <sheet name="202179" sheetId="211" r:id="rId79"/>
    <sheet name="202180" sheetId="213" r:id="rId80"/>
    <sheet name="202181" sheetId="214" r:id="rId81"/>
    <sheet name="202182" sheetId="215" r:id="rId82"/>
    <sheet name="Uitstaaande facturen" sheetId="1" r:id="rId83"/>
  </sheets>
  <definedNames>
    <definedName name="_xlnm.Print_Area" localSheetId="0">'202101'!$B$1:$F$39</definedName>
    <definedName name="_xlnm.Print_Area" localSheetId="1">'202102'!$B$1:$F$36</definedName>
    <definedName name="_xlnm.Print_Area" localSheetId="2">'202103'!$B$1:$F$36</definedName>
    <definedName name="_xlnm.Print_Area" localSheetId="3">'202104'!$B$1:$F$35</definedName>
    <definedName name="_xlnm.Print_Area" localSheetId="4">'202105'!$B$1:$F$36</definedName>
    <definedName name="_xlnm.Print_Area" localSheetId="5">'202106'!$B$1:$F$35</definedName>
    <definedName name="_xlnm.Print_Area" localSheetId="6">'202107'!$B$1:$F$37</definedName>
    <definedName name="_xlnm.Print_Area" localSheetId="7">'202108'!$B$1:$F$38</definedName>
    <definedName name="_xlnm.Print_Area" localSheetId="8">'202109'!$B$1:$F$35</definedName>
    <definedName name="_xlnm.Print_Area" localSheetId="9">'202110 '!$B$1:$F$33</definedName>
    <definedName name="_xlnm.Print_Area" localSheetId="10">'202111'!$B$1:$F$29</definedName>
    <definedName name="_xlnm.Print_Area" localSheetId="11">'202112'!$B$1:$F$28</definedName>
    <definedName name="_xlnm.Print_Area" localSheetId="13">'202114'!$B$1:$F$27</definedName>
    <definedName name="_xlnm.Print_Area" localSheetId="14">'202115'!$B$1:$F$25</definedName>
    <definedName name="_xlnm.Print_Area" localSheetId="15">'202116'!$B$1:$F$25</definedName>
    <definedName name="_xlnm.Print_Area" localSheetId="16">'202117'!$B$1:$F$25</definedName>
    <definedName name="_xlnm.Print_Area" localSheetId="17">'202118'!$B$1:$F$37</definedName>
    <definedName name="_xlnm.Print_Area" localSheetId="18">'202119'!$B$1:$F$38</definedName>
    <definedName name="_xlnm.Print_Area" localSheetId="19">'202120'!$B$1:$F$35</definedName>
    <definedName name="_xlnm.Print_Area" localSheetId="20">'202121'!$B$1:$F$33</definedName>
    <definedName name="_xlnm.Print_Area" localSheetId="21">'202122'!$B$1:$F$34</definedName>
    <definedName name="_xlnm.Print_Area" localSheetId="22">'202123 '!$B$1:$F$42</definedName>
    <definedName name="_xlnm.Print_Area" localSheetId="23">'202124'!$B$1:$F$37</definedName>
    <definedName name="_xlnm.Print_Area" localSheetId="24">'202125'!$B$1:$F$31</definedName>
    <definedName name="_xlnm.Print_Area" localSheetId="25">'202126'!$B$1:$F$35</definedName>
    <definedName name="_xlnm.Print_Area" localSheetId="26">'202127'!$B$1:$F$31</definedName>
    <definedName name="_xlnm.Print_Area" localSheetId="27">'202128'!$B$1:$F$25</definedName>
    <definedName name="_xlnm.Print_Area" localSheetId="28">'202129'!$B$1:$F$30</definedName>
    <definedName name="_xlnm.Print_Area" localSheetId="29">'202130'!$B$1:$F$24</definedName>
    <definedName name="_xlnm.Print_Area" localSheetId="30">'202131'!$B$1:$F$24</definedName>
    <definedName name="_xlnm.Print_Area" localSheetId="31">'202132'!$B$1:$F$35</definedName>
    <definedName name="_xlnm.Print_Area" localSheetId="32">'202133'!$B$1:$F$45</definedName>
    <definedName name="_xlnm.Print_Area" localSheetId="33">'202134'!$B$1:$F$35</definedName>
    <definedName name="_xlnm.Print_Area" localSheetId="34">'202135'!$B$1:$F$35</definedName>
    <definedName name="_xlnm.Print_Area" localSheetId="35">'202136'!$B$1:$F$32</definedName>
    <definedName name="_xlnm.Print_Area" localSheetId="36">'202137'!$B$1:$F$32</definedName>
    <definedName name="_xlnm.Print_Area" localSheetId="37">'202138'!$B$1:$F$31</definedName>
    <definedName name="_xlnm.Print_Area" localSheetId="38">'202139'!$B$1:$F$32</definedName>
    <definedName name="_xlnm.Print_Area" localSheetId="39">'202140'!$B$1:$F$35</definedName>
    <definedName name="_xlnm.Print_Area" localSheetId="40">'202141'!$B$1:$F$38</definedName>
    <definedName name="_xlnm.Print_Area" localSheetId="41">'202142 '!$B$1:$F$35</definedName>
    <definedName name="_xlnm.Print_Area" localSheetId="42">'202143'!$B$1:$F$34</definedName>
    <definedName name="_xlnm.Print_Area" localSheetId="43">'202144'!$B$1:$F$30</definedName>
    <definedName name="_xlnm.Print_Area" localSheetId="44">'202145'!$B$1:$F$30</definedName>
    <definedName name="_xlnm.Print_Area" localSheetId="45">'202146'!$B$1:$F$34</definedName>
    <definedName name="_xlnm.Print_Area" localSheetId="46">'202147'!$B$1:$F$33</definedName>
    <definedName name="_xlnm.Print_Area" localSheetId="47">'202148'!$B$1:$F$25</definedName>
    <definedName name="_xlnm.Print_Area" localSheetId="48">'202149'!$B$1:$F$25</definedName>
    <definedName name="_xlnm.Print_Area" localSheetId="49">'202150'!$B$1:$F$30</definedName>
    <definedName name="_xlnm.Print_Area" localSheetId="50">'202151'!$B$1:$F$25</definedName>
    <definedName name="_xlnm.Print_Area" localSheetId="51">'202152'!$B$1:$F$25</definedName>
    <definedName name="_xlnm.Print_Area" localSheetId="52">'202153'!$B$1:$F$25</definedName>
    <definedName name="_xlnm.Print_Area" localSheetId="53">'202154'!$B$1:$F$35</definedName>
    <definedName name="_xlnm.Print_Area" localSheetId="54">'202155'!$B$1:$F$32</definedName>
    <definedName name="_xlnm.Print_Area" localSheetId="55">'202156'!$B$1:$F$34</definedName>
    <definedName name="_xlnm.Print_Area" localSheetId="56">'202157'!$B$1:$F$30</definedName>
    <definedName name="_xlnm.Print_Area" localSheetId="57">'202158'!$B$1:$F$29</definedName>
    <definedName name="_xlnm.Print_Area" localSheetId="58">'202159'!$B$1:$F$29</definedName>
    <definedName name="_xlnm.Print_Area" localSheetId="59">'202160'!$B$1:$F$38</definedName>
    <definedName name="_xlnm.Print_Area" localSheetId="60">'202161'!$B$1:$F$35</definedName>
    <definedName name="_xlnm.Print_Area" localSheetId="61">'202162'!$B$1:$F$30</definedName>
    <definedName name="_xlnm.Print_Area" localSheetId="62">'202163'!$B$1:$F$34</definedName>
    <definedName name="_xlnm.Print_Area" localSheetId="63">'202164'!$B$1:$F$33</definedName>
    <definedName name="_xlnm.Print_Area" localSheetId="64">'202165'!$B$1:$F$32</definedName>
    <definedName name="_xlnm.Print_Area" localSheetId="65">'202166'!$B$1:$F$30</definedName>
    <definedName name="_xlnm.Print_Area" localSheetId="66">'202167'!$B$1:$F$33</definedName>
    <definedName name="_xlnm.Print_Area" localSheetId="67">'202168'!$B$1:$F$35</definedName>
    <definedName name="_xlnm.Print_Area" localSheetId="68">'202169'!$B$1:$F$30</definedName>
    <definedName name="_xlnm.Print_Area" localSheetId="69">'202170'!$B$1:$F$35</definedName>
    <definedName name="_xlnm.Print_Area" localSheetId="70">'202171'!$B$1:$F$33</definedName>
    <definedName name="_xlnm.Print_Area" localSheetId="71">'202172'!$B$1:$F$31</definedName>
    <definedName name="_xlnm.Print_Area" localSheetId="72">'202173'!$B$1:$F$31</definedName>
    <definedName name="_xlnm.Print_Area" localSheetId="73">'202174'!$B$1:$F$33</definedName>
    <definedName name="_xlnm.Print_Area" localSheetId="74">'202175'!$B$1:$F$32</definedName>
    <definedName name="_xlnm.Print_Area" localSheetId="75">'202176'!$B$1:$F$34</definedName>
    <definedName name="_xlnm.Print_Area" localSheetId="76">'202177'!$B$1:$F$32</definedName>
    <definedName name="_xlnm.Print_Area" localSheetId="77">'202178'!$B$1:$F$35</definedName>
    <definedName name="_xlnm.Print_Area" localSheetId="78">'202179'!$B$1:$F$32</definedName>
    <definedName name="_xlnm.Print_Area" localSheetId="79">'202180'!$B$1:$F$32</definedName>
    <definedName name="_xlnm.Print_Area" localSheetId="80">'202181'!$B$1:$F$32</definedName>
    <definedName name="_xlnm.Print_Area" localSheetId="81">'202182'!$B$1:$F$31</definedName>
    <definedName name="_xlnm.Print_Area" localSheetId="12">'212113'!$B$1:$F$38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215" l="1"/>
  <c r="B10" i="215"/>
  <c r="B9" i="215"/>
  <c r="B8" i="215"/>
  <c r="B11" i="214"/>
  <c r="B10" i="214"/>
  <c r="B9" i="214"/>
  <c r="B8" i="214"/>
  <c r="B11" i="213"/>
  <c r="B10" i="213"/>
  <c r="B9" i="213"/>
  <c r="B8" i="213"/>
  <c r="B11" i="212"/>
  <c r="B10" i="212"/>
  <c r="B9" i="212"/>
  <c r="B8" i="212"/>
  <c r="B11" i="211"/>
  <c r="B10" i="211"/>
  <c r="B9" i="211"/>
  <c r="B8" i="211"/>
  <c r="B11" i="210"/>
  <c r="B10" i="210"/>
  <c r="B9" i="210"/>
  <c r="B8" i="210"/>
  <c r="B11" i="209"/>
  <c r="B10" i="209"/>
  <c r="B9" i="209"/>
  <c r="B8" i="209"/>
  <c r="B11" i="208"/>
  <c r="B10" i="208"/>
  <c r="B9" i="208"/>
  <c r="B8" i="208"/>
  <c r="B8" i="207"/>
  <c r="B9" i="207"/>
  <c r="B10" i="207"/>
  <c r="B11" i="207"/>
</calcChain>
</file>

<file path=xl/sharedStrings.xml><?xml version="1.0" encoding="utf-8"?>
<sst xmlns="http://schemas.openxmlformats.org/spreadsheetml/2006/main" count="3487" uniqueCount="905">
  <si>
    <t>Uitstaande facturen</t>
  </si>
  <si>
    <t>Factuurnr</t>
  </si>
  <si>
    <t>Factuur datum</t>
  </si>
  <si>
    <t>Debiteur</t>
  </si>
  <si>
    <t>Naam</t>
  </si>
  <si>
    <t>Bedrag</t>
  </si>
  <si>
    <t>Bedrag betaald</t>
  </si>
  <si>
    <t>ja</t>
  </si>
  <si>
    <t>Factuur</t>
  </si>
  <si>
    <t>2xdenken</t>
  </si>
  <si>
    <t>Zoete Campagnergaarde 5</t>
  </si>
  <si>
    <t>3824 AK Amersfoort</t>
  </si>
  <si>
    <t>Tel: 06-41548188</t>
  </si>
  <si>
    <t xml:space="preserve">2 uur vb.
</t>
  </si>
  <si>
    <t>jorieke@2xdenken.nl</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</si>
  <si>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</si>
  <si>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</si>
  <si>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</si>
  <si>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</si>
  <si>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</si>
  <si>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</si>
  <si>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</si>
  <si>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</si>
  <si>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</si>
  <si>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PCBO Amersfoort</t>
  </si>
  <si>
    <t>Factuurnummer: 202101</t>
  </si>
  <si>
    <t xml:space="preserve">CBS De Sprong </t>
  </si>
  <si>
    <t>T.a.v.  mevrouw S. van Iterson</t>
  </si>
  <si>
    <t>Boekenberghstraat 12</t>
  </si>
  <si>
    <t>7906 GH Hoogeveen</t>
  </si>
  <si>
    <t>Debiteurnr: DB11</t>
  </si>
  <si>
    <t>Factuurdatum: 30-04-'21</t>
  </si>
  <si>
    <t xml:space="preserve">1,5 uur                           </t>
  </si>
  <si>
    <t xml:space="preserve">€ 120,-             </t>
  </si>
  <si>
    <t>1,5 uur</t>
  </si>
  <si>
    <t>€ 120,-</t>
  </si>
  <si>
    <t>divers</t>
  </si>
  <si>
    <t>2 uur</t>
  </si>
  <si>
    <t>€ 160,-</t>
  </si>
  <si>
    <t>Bespreking van het traject. Wat is de huidiuge stand van zaken en wat is zichtbaar aan ontwikkeling. Waar liggen nog verbeterpunten en hoe gaan we daarmee verder?</t>
  </si>
  <si>
    <t>€ 80,-</t>
  </si>
  <si>
    <t>Tijdens verschillende momenten hebben Sandra en ik overleg gehad t.a.v. het traject en hoe Sandra leiding kan nemen in de samenwerking met Richard (sparren/coachen)</t>
  </si>
  <si>
    <t>Vanwege de coronamaatregelen hebben de overlegmomenten online plaatsgevonden. Daarnaast is er wekelijks contact via de mail over de overlegmomenten van Richard met Sandra, verslaglegging/ feedback weekprogramma/overleg met collega's</t>
  </si>
  <si>
    <t xml:space="preserve">Betreft: De Sprong, 2e factuur verbetertraject R.v.P.
</t>
  </si>
  <si>
    <t>1. Coachingssessies</t>
  </si>
  <si>
    <t>2. Tussenevaluatie</t>
  </si>
  <si>
    <t>3. Overlegmomenten   Sandra</t>
  </si>
  <si>
    <t>11-01-'21</t>
  </si>
  <si>
    <t xml:space="preserve">08-03-'21                 </t>
  </si>
  <si>
    <t>23-03-'21</t>
  </si>
  <si>
    <t xml:space="preserve">02-03-'21                 </t>
  </si>
  <si>
    <t>31-03-'21</t>
  </si>
  <si>
    <t>4 uur</t>
  </si>
  <si>
    <t>€ 320,-</t>
  </si>
  <si>
    <t>1080,-</t>
  </si>
  <si>
    <t>30-04-'21</t>
  </si>
  <si>
    <t>DB11</t>
  </si>
  <si>
    <t>Sprong (verbetertr. R.v.P)</t>
  </si>
  <si>
    <t>Stichting Meerkring</t>
  </si>
  <si>
    <t>T.a.v.  o.b.s. de Wijde Wereld</t>
  </si>
  <si>
    <t>Amsterdamseweg 41</t>
  </si>
  <si>
    <t>3812 RP Amersfoort</t>
  </si>
  <si>
    <t>Factuurnummer:</t>
  </si>
  <si>
    <t>Debiteurnr: DB04</t>
  </si>
  <si>
    <t>Nader te bepalen a.d.v. de hulpvragen en ontwikkelpunten</t>
  </si>
  <si>
    <t>2. Coachingssessies 4 t/m 6</t>
  </si>
  <si>
    <t xml:space="preserve">02-02-'21                 </t>
  </si>
  <si>
    <t>22-02-'21</t>
  </si>
  <si>
    <t xml:space="preserve">13-04-'21                 </t>
  </si>
  <si>
    <t>P.C. Basisschool De Bolster</t>
  </si>
  <si>
    <t>Van Effenlaan 10</t>
  </si>
  <si>
    <t>3818 RL Amersfoort</t>
  </si>
  <si>
    <t>Debiteurnr: DB10</t>
  </si>
  <si>
    <t>Nader te bepalen a.d.h.v. uitkomsten van de observatie en afhankelijk van de hulpvragen. 
45 min. in de groep
45 min. nabespreken met de leerkracht</t>
  </si>
  <si>
    <t>t.a.v. M. van der Geijs</t>
  </si>
  <si>
    <t>Evaluatie</t>
  </si>
  <si>
    <t>Wat heeft het traject tot nu toe opgeleverd? Welke ontwikkeling maakt de leerkracht door? Welke stappen zijn nog belangrijk?</t>
  </si>
  <si>
    <t>1. Coachingssessie 11</t>
  </si>
  <si>
    <t xml:space="preserve">Betreft: De Bolster, 5e factuur coachtraject Kersten Weitz
</t>
  </si>
  <si>
    <t>28-04-'21</t>
  </si>
  <si>
    <t>€120,-</t>
  </si>
  <si>
    <t>€ 200,-</t>
  </si>
  <si>
    <t xml:space="preserve">Betreft: De Bolster, 2e factuur coachingstraject Carla van Rijn
</t>
  </si>
  <si>
    <t>22-03-'21</t>
  </si>
  <si>
    <t>22-04-'21</t>
  </si>
  <si>
    <t>P.C.B. Prins Willem-Alexander</t>
  </si>
  <si>
    <t>T.a.v.  Tonia Verlaan-Oskam</t>
  </si>
  <si>
    <t>Weberstraat 5</t>
  </si>
  <si>
    <t>3816 VA Amersfoort</t>
  </si>
  <si>
    <t>Debiteurnr: DB18</t>
  </si>
  <si>
    <t>21-04-'21</t>
  </si>
  <si>
    <t>01-02-'21</t>
  </si>
  <si>
    <t>04-03-'21</t>
  </si>
  <si>
    <t xml:space="preserve">€ 120,-   </t>
  </si>
  <si>
    <t>08-04-'21</t>
  </si>
  <si>
    <t>2. Coachingssessies 3 t/m 5</t>
  </si>
  <si>
    <t xml:space="preserve">Betreft: Prins Willem-Alexanderschool, 2e factuur coachtraject Jeanine Hulshof.
</t>
  </si>
  <si>
    <t>P.C. Basisschool De Vuurvogel</t>
  </si>
  <si>
    <t>t.a.v. K. Lummel</t>
  </si>
  <si>
    <t>Zwarte Sluiskade 2</t>
  </si>
  <si>
    <t>3826  EG Amersfoort</t>
  </si>
  <si>
    <t>Debiteurnr: DB13</t>
  </si>
  <si>
    <t>€ 240,-</t>
  </si>
  <si>
    <t xml:space="preserve">Betreft: De Vuurvogel, 4e factuur coachingstraject Rianne Hartkamp
</t>
  </si>
  <si>
    <t>Eindevaluatie</t>
  </si>
  <si>
    <t>Bespreking van het traject. Welke handvatten heb je nu verkregen en wat heeft dit opgeleverd? Welke ontwikkelpunten zijn belangrijk en hoe ga je hiermee verder?</t>
  </si>
  <si>
    <t xml:space="preserve"> Coachingssessie 9</t>
  </si>
  <si>
    <t>P.C.B. Het Anker</t>
  </si>
  <si>
    <t>T.a.v. Noreen de Croock</t>
  </si>
  <si>
    <t>Dollardstraat 123</t>
  </si>
  <si>
    <t>3812 EV Amersfoort</t>
  </si>
  <si>
    <t>Debiteurnr: DB15</t>
  </si>
  <si>
    <t xml:space="preserve">Betreft:  Het Anker, 3e factuur coachtraject K.M.
</t>
  </si>
  <si>
    <t xml:space="preserve"> Coachingssessie 5 t/m 8</t>
  </si>
  <si>
    <t>25-03-'21</t>
  </si>
  <si>
    <t>18-03-'21</t>
  </si>
  <si>
    <t>11-02-'21</t>
  </si>
  <si>
    <t>20-01-'21</t>
  </si>
  <si>
    <t>03-03-'21</t>
  </si>
  <si>
    <t>€ 600,-</t>
  </si>
  <si>
    <t xml:space="preserve"> Evaluatie</t>
  </si>
  <si>
    <t xml:space="preserve">Betreft: De Wijde Wereld, 2e factuur coachtraject C.S.
</t>
  </si>
  <si>
    <t>Holleblok 8</t>
  </si>
  <si>
    <t>1273 EG Huizen</t>
  </si>
  <si>
    <t>t.a.v.  mevr. N. Beijering</t>
  </si>
  <si>
    <t>Debiteurnr: DB20</t>
  </si>
  <si>
    <t xml:space="preserve">Betreft:  De Tweemaster, 1e factuur coachtraject N.B.
</t>
  </si>
  <si>
    <t xml:space="preserve"> Intake</t>
  </si>
  <si>
    <t>13-01-'21 en 21-01-'21</t>
  </si>
  <si>
    <t>Telefonisch contact</t>
  </si>
  <si>
    <t xml:space="preserve">12-12-’20 </t>
  </si>
  <si>
    <t>1 uur</t>
  </si>
  <si>
    <t xml:space="preserve">10-02-’21 </t>
  </si>
  <si>
    <t>Sessie 1 en 2</t>
  </si>
  <si>
    <t>2,5 uur</t>
  </si>
  <si>
    <t>20-04-'21</t>
  </si>
  <si>
    <t xml:space="preserve">11-02-’21 </t>
  </si>
  <si>
    <t>Factuurdatum: 10-05-'21</t>
  </si>
  <si>
    <t>Stichting Voila</t>
  </si>
  <si>
    <t>T.a.v.  Gert Broekhuizen</t>
  </si>
  <si>
    <t>‘t Erf 1</t>
  </si>
  <si>
    <t>3831 NA Leusden</t>
  </si>
  <si>
    <t>Debiteurnr: DB19</t>
  </si>
  <si>
    <t xml:space="preserve"> Coachingssessie 10</t>
  </si>
  <si>
    <t xml:space="preserve">Betreft:  Het Palet, 3e factuur coachtraject R.v.V.
</t>
  </si>
  <si>
    <t xml:space="preserve">Kennismaking met de school en bespreken huidige stand van zaken. Eerste verkenning en verdieping van de individuele hulpvragen en afstemmen van ondersteuningsbehoeften. </t>
  </si>
  <si>
    <t>Actuele situaties voor- en nabespreken waar Nathalie tegenaan loopt.</t>
  </si>
  <si>
    <t xml:space="preserve">Nader te bepalen a.d.h.v. uitkomsten van de hulpvragen. </t>
  </si>
  <si>
    <t xml:space="preserve">t.a.v. G. van Twillert </t>
  </si>
  <si>
    <t>Dennenlaan 31</t>
  </si>
  <si>
    <t>3862 HN Nijkerk</t>
  </si>
  <si>
    <t>Debiteurnr: DB17</t>
  </si>
  <si>
    <t>1. Intake</t>
  </si>
  <si>
    <t xml:space="preserve">2 uur                           </t>
  </si>
  <si>
    <t xml:space="preserve">€ 160,-             </t>
  </si>
  <si>
    <t>4. Reiskosten</t>
  </si>
  <si>
    <t xml:space="preserve">GBS De Open Kring </t>
  </si>
  <si>
    <t xml:space="preserve">Betreft: De Open Kring, 2e factuur verbetertraject C.K
</t>
  </si>
  <si>
    <t xml:space="preserve">1. Coachingssessies         4 t/m 8 </t>
  </si>
  <si>
    <t>2. Tussenvaluaties</t>
  </si>
  <si>
    <t xml:space="preserve">08-02-'21                 </t>
  </si>
  <si>
    <t>15-03-'21</t>
  </si>
  <si>
    <t>16-03-'21</t>
  </si>
  <si>
    <t>22-11-'20</t>
  </si>
  <si>
    <t>09-02-'21</t>
  </si>
  <si>
    <t>5x Amersfoort-Nijkerk-Nijkerk-Amersfoort</t>
  </si>
  <si>
    <t>€ 12,-</t>
  </si>
  <si>
    <t>€ 972,-</t>
  </si>
  <si>
    <t>p.c. basisschool de Holm</t>
  </si>
  <si>
    <t>Berkelwijk 35</t>
  </si>
  <si>
    <t>3831 MN Leusden</t>
  </si>
  <si>
    <t>T.a.v.  Mevrouw L. Murphy</t>
  </si>
  <si>
    <t>Debiteurnr: DB02</t>
  </si>
  <si>
    <t xml:space="preserve">Betreft: De Holm, 3e factuur coachtraject leerkrachten unit II
</t>
  </si>
  <si>
    <t xml:space="preserve">1. Coachingssessies         5 t/m 7 </t>
  </si>
  <si>
    <t>2. Tussenvaluatie</t>
  </si>
  <si>
    <t>14-01-'21</t>
  </si>
  <si>
    <t xml:space="preserve">18-02-'21                 </t>
  </si>
  <si>
    <t xml:space="preserve">25-03-'21                 </t>
  </si>
  <si>
    <t>15-04-'21</t>
  </si>
  <si>
    <t>€ 440,-</t>
  </si>
  <si>
    <t>Wienbelt Beheer B.V.</t>
  </si>
  <si>
    <t>Snoeckgensheuvel 81</t>
  </si>
  <si>
    <t>3817 HL Amersfoort</t>
  </si>
  <si>
    <t>Debiteurnr: DB01</t>
  </si>
  <si>
    <t>€ 0,-</t>
  </si>
  <si>
    <t>Factuurnummer: 202112</t>
  </si>
  <si>
    <t xml:space="preserve">Betreft De Morgenster, teamtraject communicatie en verbinding, op weg naar duurzame onderwijsverbetering
</t>
  </si>
  <si>
    <t xml:space="preserve">1. Evaluatie observatie 
van elkaars lessen:terugblik, stilstaan, vooruitkijken </t>
  </si>
  <si>
    <t>11-03-'21</t>
  </si>
  <si>
    <t>8.30-12.30uur</t>
  </si>
  <si>
    <t>vb. 4 uur</t>
  </si>
  <si>
    <t xml:space="preserve">uitv. 2 uur per groepje (totaal 8 uur)
</t>
  </si>
  <si>
    <t>2.Tussentijds overleg MT</t>
  </si>
  <si>
    <t xml:space="preserve">€ 80,-             </t>
  </si>
  <si>
    <t>Evaluatie van de ochtend, duiding. Jorieke en Christine samen met Wim, Inge en Anneke.</t>
  </si>
  <si>
    <t>3. Ondersteuning kleuterbouw</t>
  </si>
  <si>
    <t>In vier kleine groepjes (kleuterbouw opgesplitst, paralelgroepen 7 en 8) geëvalueerd en onderzocht waar je eigen kijkersvraag voor de volgende keer ligt. Jorieke en Christine steeds een eigen groepje.</t>
  </si>
  <si>
    <t>vb 3 uur</t>
  </si>
  <si>
    <t>Blootleggen van huidige situatie en behoeftes, stimuleren van het onderlinge gesprek. Jorieke en Christine samen met alle 
kleuterbouwleden.</t>
  </si>
  <si>
    <t xml:space="preserve">11-03-'21       </t>
  </si>
  <si>
    <t>14.30-16.00uur</t>
  </si>
  <si>
    <t xml:space="preserve">uitv. 1,5 uur
</t>
  </si>
  <si>
    <t xml:space="preserve"> Amersfoort-Hoogeveen-Hoogeveen-Amersfoort</t>
  </si>
  <si>
    <t>2x117 km à €0,20 per km.</t>
  </si>
  <si>
    <t>Factuurnummer: 202113</t>
  </si>
  <si>
    <t xml:space="preserve">1. Voorbereiding 
lesobservatie. </t>
  </si>
  <si>
    <t>Kijkersvraag specificeren. Waar wil je graag feedback op krijgen en waar let je dus op tijdens het kijken. Online, korte bijeenkomsten. Jorieke met Aaldert en Renate. Christine met 
Randi en Petra én met Berber en Ylonka.</t>
  </si>
  <si>
    <t>30-03-'21</t>
  </si>
  <si>
    <t>voor 30-03-'21</t>
  </si>
  <si>
    <t>vb. 1 uur</t>
  </si>
  <si>
    <t xml:space="preserve">uitv. 20 min uur per groepje (totaal 1 uur)
</t>
  </si>
  <si>
    <t>€ 40,-</t>
  </si>
  <si>
    <t>2. Lesobservaties</t>
  </si>
  <si>
    <t xml:space="preserve">Randi kijkt bij Petra, Christine kijkt mee. Renate kijkt bij Aaldert, Jorieke kijkt mee. Aaldert kijkt bij Renate, Jorieke kijkt mee. 
Berber kijkt bij Ylonka, Christine kijkt mee. </t>
  </si>
  <si>
    <t>Randi geeft Petra feedback, Christine kijkt mee. Renate geeft Aaldert feedback, Jorieke kijkt mee. Aaldert geeft Renate feedback, Jorieke kijkt mee. Berber geeft Ylonka feedback, 
Christine kijkt mee.</t>
  </si>
  <si>
    <t xml:space="preserve">30-03-'21       </t>
  </si>
  <si>
    <t>3. Nabespreking lesobervaties</t>
  </si>
  <si>
    <t>2,25 uur</t>
  </si>
  <si>
    <t>€ 90,-</t>
  </si>
  <si>
    <t>4. Ondersteuning middenbouw</t>
  </si>
  <si>
    <t>Blootleggen van huidige situatie en behoeftes, stimuleren van het onderlinge gesprek. Jorieke begeleidt dit.</t>
  </si>
  <si>
    <t>11.00-13.00 uur</t>
  </si>
  <si>
    <t>vb 2 uur</t>
  </si>
  <si>
    <t>14.30-16.30 uur</t>
  </si>
  <si>
    <t xml:space="preserve">2 uur </t>
  </si>
  <si>
    <t>5. Ondersteuning IB, Bouwco’s en 
Gedragsspecialist</t>
  </si>
  <si>
    <t>Blootleggen van huidige situatie en behoeftes, 
stimuleren van het onderlinge gesprek. 
Christine begeleidt dit.</t>
  </si>
  <si>
    <t>uit. 2 uur</t>
  </si>
  <si>
    <t>6. Individuele begeleiding Anneke</t>
  </si>
  <si>
    <t>Voorbereiding kleuterbouw overleg. Christine 
begeleidt dit.</t>
  </si>
  <si>
    <t>13.00-13.45 uur</t>
  </si>
  <si>
    <t xml:space="preserve">uitv. 0,75 uur
</t>
  </si>
  <si>
    <t>€ 30,-</t>
  </si>
  <si>
    <t>Christine kijkt en bespreekt na met Anneke.</t>
  </si>
  <si>
    <t>7. Observatie 
bouwvergadering</t>
  </si>
  <si>
    <t>14.30-17.00 uur</t>
  </si>
  <si>
    <t>€ 100,-</t>
  </si>
  <si>
    <t>8. Reiskosten</t>
  </si>
  <si>
    <t>uitv. 4 uur</t>
  </si>
  <si>
    <t xml:space="preserve">uitv. 2,5 uur
</t>
  </si>
  <si>
    <t>Factuurnummer: 202114</t>
  </si>
  <si>
    <t xml:space="preserve">Toelichten actuele situatie, concreet maken van 
de vragen en brainstormen over mogelijk vervolg. </t>
  </si>
  <si>
    <t>2.Studieochtend</t>
  </si>
  <si>
    <t xml:space="preserve"> Vanwege de situatie rondom Corona is de studieochtend online uitgevoerd. Inspireren van het team. Ervaringen delen over gevoerde startgesprekken, ambities benoemen, theorie 
driehoeksgesprekken delen, samen kijken naar vervolgstappen.</t>
  </si>
  <si>
    <t xml:space="preserve">01-04-'21       </t>
  </si>
  <si>
    <t>9.00-12.00 uur</t>
  </si>
  <si>
    <t>€240,-</t>
  </si>
  <si>
    <t>vb. 3 uur</t>
  </si>
  <si>
    <t>uitv. 3 uur</t>
  </si>
  <si>
    <t xml:space="preserve">Betreft De JC van der Walschool, online studieochtend identiteit
</t>
  </si>
  <si>
    <t xml:space="preserve">Vanwege situatie rondom Corona is de bijeenkomst online uitgevoerd. Samen kijken naar visie op identiteit 
a.h.v. visiestuk vanuit leerteam. </t>
  </si>
  <si>
    <t>Studieochtend</t>
  </si>
  <si>
    <t xml:space="preserve">06-04-'21       </t>
  </si>
  <si>
    <t>Factuurnummer: 202115</t>
  </si>
  <si>
    <t xml:space="preserve">Betreft De Wissel, teamondersteuning naar meer eigenaarschap voor het kind, online korte impulsbijeenkomst kindgesprekken 
</t>
  </si>
  <si>
    <t>Factuurnummer: 202116</t>
  </si>
  <si>
    <t>Impulsbijeenkomst</t>
  </si>
  <si>
    <t xml:space="preserve">29-03-'21       </t>
  </si>
  <si>
    <t>uitv. 1 uur</t>
  </si>
  <si>
    <t>€80,-</t>
  </si>
  <si>
    <t>Jaarlijkse Bijdrage CRKBO</t>
  </si>
  <si>
    <t xml:space="preserve">Vervolg kindgesprekken: vanwege Corona online uitgevoerd. Gezien de voorafgaande lockdown een kort inspiratiemoment. Iedereen stimuleren er weer mee aan de slag te gaan en 
ook bij elkaar te gaan kijken. </t>
  </si>
  <si>
    <t>Jaarlijkse bijdrage voor uw registratie in het CRKBO - maart 2021 t/m februari 2022</t>
  </si>
  <si>
    <t>16-04-'21</t>
  </si>
  <si>
    <t xml:space="preserve">Betreft: CRKBO Instelling, jaarlijkse bijdrage
</t>
  </si>
  <si>
    <t>Factuurnummer: 202117</t>
  </si>
  <si>
    <t>R.K.B. De  Tweemaster, locatie Holleblok</t>
  </si>
  <si>
    <t xml:space="preserve">Betreft De Achtbaan, online Teamondersteuning kindgesprekken
</t>
  </si>
  <si>
    <t>De Wijde Wereld (coachtraject C.S.)</t>
  </si>
  <si>
    <t>DB04</t>
  </si>
  <si>
    <t>DB10</t>
  </si>
  <si>
    <t xml:space="preserve">De Bolster (coaching K.W.) </t>
  </si>
  <si>
    <t xml:space="preserve">De Bolster (coaching C.v.R.) </t>
  </si>
  <si>
    <t>DB18</t>
  </si>
  <si>
    <t>PWA (coaching J.v.H.)</t>
  </si>
  <si>
    <t>DB13</t>
  </si>
  <si>
    <t>De Vuurvogel (coaching R.H)</t>
  </si>
  <si>
    <t>Het Anker (coaching K.M.)</t>
  </si>
  <si>
    <t>DB15</t>
  </si>
  <si>
    <t>DB20</t>
  </si>
  <si>
    <t>10-05-'21</t>
  </si>
  <si>
    <t>De Tweemaster (coaching N.B.)</t>
  </si>
  <si>
    <t>DB19</t>
  </si>
  <si>
    <t>DB17</t>
  </si>
  <si>
    <t>De Open Kring (verbetertr. C. K.)</t>
  </si>
  <si>
    <t>DB02</t>
  </si>
  <si>
    <t xml:space="preserve">De Holm (coaching unit II) </t>
  </si>
  <si>
    <t>DB01</t>
  </si>
  <si>
    <t>De Morgenster, teamtraject</t>
  </si>
  <si>
    <t>JC van der Walschool (studieocht. identiteit)</t>
  </si>
  <si>
    <t>De Achtbaan (studieocht. Kindgesprekken)</t>
  </si>
  <si>
    <t>De Wissel (impulsmoment kindgesprekken)</t>
  </si>
  <si>
    <t>CRKBO</t>
  </si>
  <si>
    <t>Het Palet (coaching R.v.V.)</t>
  </si>
  <si>
    <t xml:space="preserve">Betreft: De Sprong, 3e factuur verbetertraject R.v.P.
</t>
  </si>
  <si>
    <t>2. Eindevaluatie</t>
  </si>
  <si>
    <t>Bespreking van het traject. Welke ontwikkeling heeft Richard zichtbaar doorgemaakt, presenteren van het raamwerk, concreet uiteen zetten voor volgend jaar.</t>
  </si>
  <si>
    <t>30-06-'21</t>
  </si>
  <si>
    <t>7 uur</t>
  </si>
  <si>
    <t>€ 560,-</t>
  </si>
  <si>
    <t xml:space="preserve">17-05-'21                 </t>
  </si>
  <si>
    <t>09-06-'21</t>
  </si>
  <si>
    <t>Factuurnummer: 202118</t>
  </si>
  <si>
    <t xml:space="preserve">Betreft: De Bolster, 6e factuur coachtraject Kersten Weitz
</t>
  </si>
  <si>
    <t>1. Coachingssessie    12 t/m 15</t>
  </si>
  <si>
    <t xml:space="preserve">Nader te bepalen a.d.h.v. uitkomsten van de observatie en afhankelijk van de hulpvragen. 
45 min. in de groep
45 min. nabespreken met de leerkracht. Twee sessies zijn ingezet om samen lessen voor te bereiden a.h.v. het EDI-model </t>
  </si>
  <si>
    <t>Wat heeft het traject tot nu toe opgeleverd? Wat is de volgende stap?</t>
  </si>
  <si>
    <t>21-05-'21</t>
  </si>
  <si>
    <t>02-06-'21</t>
  </si>
  <si>
    <t>04-06-'21</t>
  </si>
  <si>
    <t>21-06-'21</t>
  </si>
  <si>
    <t>23-06-'21</t>
  </si>
  <si>
    <t>€ 720,-</t>
  </si>
  <si>
    <t xml:space="preserve">Betreft: De Bolster, 3e factuur coachingstraject Carla van Rijn
</t>
  </si>
  <si>
    <t>1. Coachingssessie 3+4</t>
  </si>
  <si>
    <t>Factuurdatum: 12-07-'21</t>
  </si>
  <si>
    <t>Factuurdatum:12-07-'21</t>
  </si>
  <si>
    <t xml:space="preserve">Betreft:  De Tweemaster, 2e factuur coachtraject N.B.
</t>
  </si>
  <si>
    <t>01-06-'21</t>
  </si>
  <si>
    <t xml:space="preserve">Sessie 3 </t>
  </si>
  <si>
    <t xml:space="preserve">Betreft: Prins Willem-Alexanderschool, 3e factuur coachtraject Jeanine Hulshof.
</t>
  </si>
  <si>
    <t>26-05-'21</t>
  </si>
  <si>
    <t>10-06-'21</t>
  </si>
  <si>
    <t>2. Coachingssessies 6 en 7</t>
  </si>
  <si>
    <t>15-07-'21</t>
  </si>
  <si>
    <t xml:space="preserve">Betreft: De Vuurvogel, factuur coachingstraject Karin Toxopeus
</t>
  </si>
  <si>
    <t>2. Startobservatie</t>
  </si>
  <si>
    <r>
      <t xml:space="preserve">De nulmeting bestaat uit: 
Observatie:                         1    uur
Verwerking observatie:         0,5 uur
</t>
    </r>
    <r>
      <rPr>
        <u/>
        <sz val="10"/>
        <rFont val="Arial"/>
        <family val="2"/>
      </rPr>
      <t>Terugkoppeling:                   1    uur</t>
    </r>
    <r>
      <rPr>
        <sz val="10"/>
        <rFont val="Arial"/>
        <family val="2"/>
      </rPr>
      <t xml:space="preserve">
Totaal:                                2,5  uur</t>
    </r>
  </si>
  <si>
    <t>Nadere kennismaking en intake om de hulpvraag helder te krijgen. Afstemmen wat nodig is en afspraken maken.</t>
  </si>
  <si>
    <t>4. Evaluatie</t>
  </si>
  <si>
    <t>12-07-'21</t>
  </si>
  <si>
    <t>19-05-'21</t>
  </si>
  <si>
    <t>31-05-'21</t>
  </si>
  <si>
    <t>07-06-'21</t>
  </si>
  <si>
    <t>15-06-'21</t>
  </si>
  <si>
    <t>24-06-'21</t>
  </si>
  <si>
    <t>29-06-'21</t>
  </si>
  <si>
    <t>06-07-'21</t>
  </si>
  <si>
    <t>€ 1160,-</t>
  </si>
  <si>
    <t xml:space="preserve"> 3. Coachingssessie      1 t/m 6</t>
  </si>
  <si>
    <t xml:space="preserve">Betreft:  Het Anker, 4e factuur coachtraject K.M.
</t>
  </si>
  <si>
    <t>Extra ingelast gesprek n.a.v. de evaluatie. Terugblik op het gesprek. Waar zijn zaken nog onduidelijk? Waar én hoe kan Koosje zich nog op ontwikkelen? Concretiseren van acties.</t>
  </si>
  <si>
    <t>1.5 uur</t>
  </si>
  <si>
    <t>1. Gesprek n.a.v. de evaluatie (25-03-'21)</t>
  </si>
  <si>
    <t>€ 360,-</t>
  </si>
  <si>
    <t xml:space="preserve">Betreft: De Holm, 4e factuur coachtraject leerkrachten unit II
</t>
  </si>
  <si>
    <t xml:space="preserve">1. Coachingssessies         8 t/m 10 </t>
  </si>
  <si>
    <t xml:space="preserve">27-05-'21                 </t>
  </si>
  <si>
    <t xml:space="preserve">03-06-'21                 </t>
  </si>
  <si>
    <t>22-06-'21</t>
  </si>
  <si>
    <t>2. Coachingssessie               9+10</t>
  </si>
  <si>
    <t>Debiteurnr: DB21</t>
  </si>
  <si>
    <t xml:space="preserve">Betreft: De St. jozefschool, 1e factuur coachingstraject Mirjam Groenenveld
</t>
  </si>
  <si>
    <t xml:space="preserve">Nader te bepalen a.d.h.v. uitkomsten van de observatie en afhankelijk van de hulpvragen. 
</t>
  </si>
  <si>
    <t xml:space="preserve"> 2. Coachingssessie      1+2</t>
  </si>
  <si>
    <t xml:space="preserve">Betreft: De Open Kring, 3e factuur verbetertraject C.K
</t>
  </si>
  <si>
    <t>1. Coachingssessies         9+10</t>
  </si>
  <si>
    <t xml:space="preserve">26-05-'21                 </t>
  </si>
  <si>
    <t xml:space="preserve">28-06-'21                 </t>
  </si>
  <si>
    <t>3x Amersfoort-Nijkerk-Nijkerk-Amersfoort</t>
  </si>
  <si>
    <t>€ 412,-</t>
  </si>
  <si>
    <t>Factuurnummer: 202128</t>
  </si>
  <si>
    <t>1. Vervolg programma
Onderwijsverbetering van en 
met elkaar</t>
  </si>
  <si>
    <t>Aftrap middenbouw, diverse observaties en 
nabesprekingen, overleg over planning nieuwe 
schooljaar.</t>
  </si>
  <si>
    <t>18-05-'21</t>
  </si>
  <si>
    <t xml:space="preserve">uitv. 8 uur
</t>
  </si>
  <si>
    <t>vb. 8 uur</t>
  </si>
  <si>
    <t>€ 640,-</t>
  </si>
  <si>
    <t>2. Reiskosten</t>
  </si>
  <si>
    <t>Amersfoort-Hoogeveen-Hoogeveen-Amersfoort</t>
  </si>
  <si>
    <t>Factuurnummer: 202129</t>
  </si>
  <si>
    <t>Tijdens twee bijeenkomsten verder gaan met het nieuwe organogram. Hoe kleuren we de lijnen goed in, wat is daarvoor nodig en wat is mijn persoonlijke bijdrage hierin.</t>
  </si>
  <si>
    <t>1. Ondersteuning kernteam</t>
  </si>
  <si>
    <t>19-04-'21</t>
  </si>
  <si>
    <t>14-06-'21</t>
  </si>
  <si>
    <t xml:space="preserve">uitv. 3 uur
</t>
  </si>
  <si>
    <t xml:space="preserve">Ervaringen uit praktijk delen, advies en tips 
geven over hoe zaken aan te pakken. </t>
  </si>
  <si>
    <t>2. Coaching MT</t>
  </si>
  <si>
    <t>02-03-'21</t>
  </si>
  <si>
    <t xml:space="preserve">uitv. 4 uur
</t>
  </si>
  <si>
    <t>4x117 km à €0,20 per km.</t>
  </si>
  <si>
    <t>Factuurnummer: 202130</t>
  </si>
  <si>
    <t>Laatste afsluitende bijeenkomst kindgesprekken: vanwege Corona online uitgevoerd. Link leggen met kindgesprekken en
meer eigenaarschap bij het kind. Hoe borgen we het hele proces?</t>
  </si>
  <si>
    <t>25-05-'21</t>
  </si>
  <si>
    <t>Factuurnummer: 202131</t>
  </si>
  <si>
    <t>Het verzorgen van een inspirerende ochtend over het onderwerp oudercommunicatie middels theorie, uitwisseling en uitwerking. Twee rondes van elk 1,5 uur.</t>
  </si>
  <si>
    <t xml:space="preserve">Betreft De Sprong, vervolg Communicatie en verbinding Kernteam plus
</t>
  </si>
  <si>
    <t xml:space="preserve">               Betreft De Wissel, vervolg teamondersteuning naar meer eigenaarschap voor het kind, online afsluitende bijeenkomst kindgesprekken
</t>
  </si>
  <si>
    <t xml:space="preserve">Betreft KC de Hoven, impulsbijeenkomst oudercommunicatie
</t>
  </si>
  <si>
    <t>13-07-'21</t>
  </si>
  <si>
    <t>€ 1000,-</t>
  </si>
  <si>
    <t>p.c. basisschool de Berkenschool</t>
  </si>
  <si>
    <t>T.a.v.  mevrouw E. Oosterhof</t>
  </si>
  <si>
    <t>Berkenlaan 19-21</t>
  </si>
  <si>
    <t>3828 BN Hoogland</t>
  </si>
  <si>
    <t>Debiteurnr: DB06</t>
  </si>
  <si>
    <t>Factuurnummer: 202132</t>
  </si>
  <si>
    <t xml:space="preserve">Betreft Intensieve ondersteuning gr. 6. coachtraject J.V.
</t>
  </si>
  <si>
    <t xml:space="preserve">Actieve ondersteuning in de groep, week 26/27 </t>
  </si>
  <si>
    <t>9,5 uur</t>
  </si>
  <si>
    <t>18-06-'21</t>
  </si>
  <si>
    <t>05-07-'21</t>
  </si>
  <si>
    <t>09-07-'21</t>
  </si>
  <si>
    <t>€ 760,-</t>
  </si>
  <si>
    <t>Verschillende dagdelen meedraaien in de groep, leekracht begeleiden, adviezen geven, overleg met directeur, leerkracht en onderwijsassistent</t>
  </si>
  <si>
    <t>p.c. basisschool Kon-Tiki</t>
  </si>
  <si>
    <t>Factuurnummer: 202133</t>
  </si>
  <si>
    <t>T.a.v.  mevrouw G. de Jong</t>
  </si>
  <si>
    <t>Oceaan 6</t>
  </si>
  <si>
    <t>3825 WC Amersfoort</t>
  </si>
  <si>
    <t>Debiteurnr: DB03</t>
  </si>
  <si>
    <t>Week 22:</t>
  </si>
  <si>
    <t>09-06-'21 t/m 11-06-'21</t>
  </si>
  <si>
    <t>14 uur</t>
  </si>
  <si>
    <t>Week 23:</t>
  </si>
  <si>
    <t>15 uur</t>
  </si>
  <si>
    <t>Intake coachtraject leerkrachten instroomgroep en groep 5</t>
  </si>
  <si>
    <t>Kennismaking met de leerkrachten. Afstemmen wat nodig is in de groep en individuele hulpvragen vaststellen (o.a. hoe kijken de leerkracht en de ib’er naar de situatie en wat achten zij nodig?</t>
  </si>
  <si>
    <t>07-04-'21</t>
  </si>
  <si>
    <t>16-06-'21 t/m 19-06-'21</t>
  </si>
  <si>
    <t>De leerkracht dreigde uit te vallen. Huidige stand van zaken besproken en onderteuningsbehoefte vastgesteld. Vervolgens is met de leerkracht en de ib'er een plan opgesteld voor de leerkracht en de groep.</t>
  </si>
  <si>
    <t>29-04-'21</t>
  </si>
  <si>
    <t>Startobservatie</t>
  </si>
  <si>
    <r>
      <t xml:space="preserve">Eerste observatie in de klas plus terugkoppeling.
De nulmeting bestaat uit: 
Observatie:                 1 uur
Verwerking observatie: 0,5 uur
</t>
    </r>
    <r>
      <rPr>
        <u/>
        <sz val="10"/>
        <rFont val="Arial"/>
        <family val="2"/>
      </rPr>
      <t xml:space="preserve">Terugkoppeling:            1 uur
</t>
    </r>
    <r>
      <rPr>
        <sz val="10"/>
        <rFont val="Arial"/>
        <family val="2"/>
      </rPr>
      <t xml:space="preserve">Totaal: 2,5 uur </t>
    </r>
  </si>
  <si>
    <t>Nader te bepalen a.d.h.v. uitkomsten van de observatie en 
afhankelijk van de hulpvragen. 
45 min. in de groep
45 min. nabespreken met de leerkracht</t>
  </si>
  <si>
    <t>28-06-'21                   19-05-'21                   26-05-'21</t>
  </si>
  <si>
    <t xml:space="preserve">1,5 uur      1,5 uur          1,5 uur </t>
  </si>
  <si>
    <t>€120,-          €120,-          €120,-</t>
  </si>
  <si>
    <t>Interventiegesprek leerkracht groep 5 (deels met de leerkracht en de ib'er).</t>
  </si>
  <si>
    <t>Week 24:</t>
  </si>
  <si>
    <t>Week 26:</t>
  </si>
  <si>
    <t>Week 27:</t>
  </si>
  <si>
    <t>Actieve ondersteuning in de groep, gesprekken met de leerkrachten</t>
  </si>
  <si>
    <t>16-06-'21 t/m 18-06-'21</t>
  </si>
  <si>
    <t>30-06-'21 t/m 02-07-'21</t>
  </si>
  <si>
    <t>Week 28:</t>
  </si>
  <si>
    <t>Week 20:</t>
  </si>
  <si>
    <t>Week 21:</t>
  </si>
  <si>
    <t xml:space="preserve">Verschillende dagdelen actief meedraaien in de groep, leekrachten begeleiden, adviezen geven over leer- en leefklimaat, omgang grensoverschrijdend gedrag, groepsdynamiek, klassenmanagement en organisatie, overleg met ib'er. </t>
  </si>
  <si>
    <t>Coachsessies 1+3, vanaf week 22 is het omgezet naar intensieve begeleiding in de groep.</t>
  </si>
  <si>
    <t>5,5 uur</t>
  </si>
  <si>
    <t>20-05-'21</t>
  </si>
  <si>
    <t>27-05-'21 t/m 28-05-'21</t>
  </si>
  <si>
    <t>02-06-'21 t/m 03-06-'21</t>
  </si>
  <si>
    <t>€ 1200,-</t>
  </si>
  <si>
    <t>€ 1120,-</t>
  </si>
  <si>
    <t>10,5 uur</t>
  </si>
  <si>
    <t>€ 840,-</t>
  </si>
  <si>
    <t>€ 7680,-</t>
  </si>
  <si>
    <t>Factuurdatum: 15-07-'21</t>
  </si>
  <si>
    <t xml:space="preserve">Betreft Intensieve ondersteuning K.M. instroomgroep en M.H. groep 5
</t>
  </si>
  <si>
    <t>Kon-Tiki (intens. onderst.K.M. instr.gr. en M.H. gr. 5)</t>
  </si>
  <si>
    <t>DB03</t>
  </si>
  <si>
    <t>DB06</t>
  </si>
  <si>
    <t>Berkenschool (intens. onderst. J.V. gr 6)</t>
  </si>
  <si>
    <t>Factuurdatum: 19-07-'21</t>
  </si>
  <si>
    <t>KC de Hoven, impulsbijeenkomst oudercommunicatie</t>
  </si>
  <si>
    <t>19-07-'21</t>
  </si>
  <si>
    <t>De Wissel, afsluitende bijeenkomst kindgesprekken</t>
  </si>
  <si>
    <t>De Sprong, teamtraject</t>
  </si>
  <si>
    <t>De Vuurvogel, (coachingstraject K.T.)</t>
  </si>
  <si>
    <t>De St. jozefschool (coaching M.G)</t>
  </si>
  <si>
    <t>DB21</t>
  </si>
  <si>
    <t>12-04-'21</t>
  </si>
  <si>
    <t>14-07-'21</t>
  </si>
  <si>
    <t>Factuurdatum: 20-09-'21</t>
  </si>
  <si>
    <t>Factuurnummer: 202134</t>
  </si>
  <si>
    <t>Factuurdatum: 22-09-'21</t>
  </si>
  <si>
    <t xml:space="preserve">Brainstormsessie invulling 2daagse
</t>
  </si>
  <si>
    <t>Samen met de directie en één van de MT leden een studieochtend voorbereid</t>
  </si>
  <si>
    <t>08-09-'21</t>
  </si>
  <si>
    <t>€ 212.50,-</t>
  </si>
  <si>
    <t>2x90 km à €0,25 per km.</t>
  </si>
  <si>
    <t>€ 45,-</t>
  </si>
  <si>
    <t>€ 257,50,-</t>
  </si>
  <si>
    <t xml:space="preserve">Betreft: Kon-Tiki, factuur start verbetertraject S.V.
</t>
  </si>
  <si>
    <t>Nadere kennismaking met de leerkracht en de onderbouwcoördinator. Afstemmen wat nodig aan te halen doelen en individuele hulpvragen vaststellen (o.a. hoe kijkt de leerkracht naar de situatie en wat acht zij nodig?).
Intake: 1 uur
Intakeverslag: 1 uur</t>
  </si>
  <si>
    <t>T.a.v.  mevrouw M. Belzen</t>
  </si>
  <si>
    <r>
      <t> </t>
    </r>
    <r>
      <rPr>
        <sz val="10.5"/>
        <color rgb="FF222222"/>
        <rFont val="Arial"/>
        <family val="2"/>
      </rPr>
      <t>Burgemeester de Beaufortweg 16</t>
    </r>
  </si>
  <si>
    <t>3833 AG Leusden</t>
  </si>
  <si>
    <t>06-09-'21</t>
  </si>
  <si>
    <t>Debiteurnr: DB16</t>
  </si>
  <si>
    <t xml:space="preserve">Betreft: brainstormsessie ter voorbereiding op de 2daagse
</t>
  </si>
  <si>
    <t>Amersfoort-Rotterdam-Rotterdam-Amersfoort</t>
  </si>
  <si>
    <t>22-09-'21</t>
  </si>
  <si>
    <t>DB16</t>
  </si>
  <si>
    <t>Bergse Zonnebloem, brainstormochtend tweedaagse</t>
  </si>
  <si>
    <t>PCBO Amersfoort (start verbetertraject S.V. Kon-Tiki)</t>
  </si>
  <si>
    <t xml:space="preserve">Sint Jozefschool </t>
  </si>
  <si>
    <t>T.a.v.  mevrouw M. Vermeulen</t>
  </si>
  <si>
    <t>Factuurdatum: 22-10-'21</t>
  </si>
  <si>
    <t xml:space="preserve">Betreft: Kon-Tiki, factuur start coachtraject C.B.
</t>
  </si>
  <si>
    <t>30-09-'21</t>
  </si>
  <si>
    <t>16-09-'21</t>
  </si>
  <si>
    <t xml:space="preserve">Betreft: Kon-Tiki, 1e factuur coachtraject R.v.W
</t>
  </si>
  <si>
    <t>Nadere kennismaking met de leerkracht. Afstemmen wat nodig aan te halen doelen en individuele hulpvragen vaststellen (o.a. hoe kijkt de leerkracht naar de situatie en wat acht zij nodig?).
Intake: 1 uur
Intakeverslag: 1 uur</t>
  </si>
  <si>
    <t>11-10-'21</t>
  </si>
  <si>
    <t>27-09-'21</t>
  </si>
  <si>
    <t xml:space="preserve">Betreft: Kon-Tiki, 1e factuur coachtraject M.W.
</t>
  </si>
  <si>
    <t>24-09-'21</t>
  </si>
  <si>
    <t xml:space="preserve">Betreft: Kon-Tiki, 1e factuur coachtraject C.v.L.
</t>
  </si>
  <si>
    <t>14-09-'21</t>
  </si>
  <si>
    <t>29-09-'21</t>
  </si>
  <si>
    <t>22-10-'21</t>
  </si>
  <si>
    <t>Kon-tiki (start coachtraject C.B.)</t>
  </si>
  <si>
    <t>Kon-Tiki (1e factuur coachtraject R.v.W)</t>
  </si>
  <si>
    <t>Kon-Tiki (1e factuur coachtraject M.W.)</t>
  </si>
  <si>
    <t>Kon-Tiki (1e factuur coachtraject C.v.L.)</t>
  </si>
  <si>
    <t>Berkenschool (intens. onderst. J.V. gr 4)</t>
  </si>
  <si>
    <t>Factuurnummer: 202140</t>
  </si>
  <si>
    <t>02-09-'21</t>
  </si>
  <si>
    <t>Samen met Eefje en Jeanette teruggeblikt op de intensieve coaching afgelopen schooljaar. Samen worden de ontwikkelpunten en afspraken voor het vervolg van het coachtraject gemaakt.
Intake: 1 uur
Intakeverslag: 1 uur</t>
  </si>
  <si>
    <t>1. Intake vervolg coachtraject</t>
  </si>
  <si>
    <t>2. Startobservatie vervolg coachtraject</t>
  </si>
  <si>
    <t>13-09-'21</t>
  </si>
  <si>
    <t>20-09-'21      27-09-'21</t>
  </si>
  <si>
    <t>2 uur       2 uur</t>
  </si>
  <si>
    <t>€ 160,-         € 160,-</t>
  </si>
  <si>
    <t xml:space="preserve">4. Actieve coaching  in de groep, week 39 t/m 41 </t>
  </si>
  <si>
    <t>28-09-'21</t>
  </si>
  <si>
    <t>04-10-'21</t>
  </si>
  <si>
    <t>06-10-'21</t>
  </si>
  <si>
    <t>3. Sessies 1+2</t>
  </si>
  <si>
    <t xml:space="preserve">45 min
</t>
  </si>
  <si>
    <t>€ 60,-</t>
  </si>
  <si>
    <t>€ 1060,-</t>
  </si>
  <si>
    <t xml:space="preserve">Betreft: Het Plankier, 1e factuur coachingstraject W.L.
</t>
  </si>
  <si>
    <t>SBO Het Plankier</t>
  </si>
  <si>
    <t>t.a.v. B. Knossen</t>
  </si>
  <si>
    <t>Wales 4</t>
  </si>
  <si>
    <t>1448 JK Purmerend</t>
  </si>
  <si>
    <t>2. Intakegesprek</t>
  </si>
  <si>
    <t>1. Kennismaking en afstemming</t>
  </si>
  <si>
    <t>16-08-'21</t>
  </si>
  <si>
    <t xml:space="preserve">Intensieve coaching, vier uur per week bestaande uit: voorbereiding, coachen in de groep, nabespreking en verslaglegging. </t>
  </si>
  <si>
    <t>4. Doorspreken van het traject en de vorderingen</t>
  </si>
  <si>
    <t>Regelmatig contact met Bernlef om de vorderingen door te spreken. Door overleg kunnen de juiste (vervolg)stappen vroegtijdig ingezet worden.</t>
  </si>
  <si>
    <t xml:space="preserve"> 3. Coachingssessie 1 t/m 4</t>
  </si>
  <si>
    <t>29-08-'21</t>
  </si>
  <si>
    <t>Bespreking van het traject. Welke handvatten heb je nu verkregen en wat heeft dit opgeleverd? Welke ontwikkelpunten zijn belangrijk en hoe ga je hiermee verder?                       tussenevaluatie: 1 uur
verslaglegging: 1 uur</t>
  </si>
  <si>
    <t>5. Tussenvaluatie</t>
  </si>
  <si>
    <t>Amersfoort-Purmerend-Purmerend-Amersfoort</t>
  </si>
  <si>
    <t>4x128km à €0,29 per km.</t>
  </si>
  <si>
    <t>€ 148,-</t>
  </si>
  <si>
    <t>€ 1908,-</t>
  </si>
  <si>
    <t>Kennismaking met Bernlef (de directeur) en doorspreken van het traject.</t>
  </si>
  <si>
    <t>Kennismaking met Willemien (leerkracht). Afstemmen wat nodig is aan te halen doelen en individuele hulpvragen vaststellen (o.a. hoe kijkt de leerkracht/directie naar de situatie en wat achten zij nodig?).                                                                          Intake: 1 uur
Intakeverslag: 1 uur</t>
  </si>
  <si>
    <t>PCB De Gabrie Mehen</t>
  </si>
  <si>
    <t>t.a.v. Marjolein Veldhuizen</t>
  </si>
  <si>
    <t>Dopheide 34</t>
  </si>
  <si>
    <t>3823 DX Amersfoort</t>
  </si>
  <si>
    <t>Debiteurnr: DB05</t>
  </si>
  <si>
    <t>Kennismaking met Gaby (leerkracht). Afstemmen wat nodig is aan te halen doelen en individuele hulpvragen vaststellen (o.a. hoe kijkt de leerkracht/directie naar de situatie en wat achten zij nodig?).                                                                          Intake: 1 uur
Intakeverslag: 1 uur</t>
  </si>
  <si>
    <t xml:space="preserve">Betreft: Gabrie Mehenschool, 1e factuur coachingstraject G.S.
</t>
  </si>
  <si>
    <t>1. Intakegesprek</t>
  </si>
  <si>
    <t>3. Verdiepend intakegesprek</t>
  </si>
  <si>
    <t>Verdere afstemming over (persoonlijke) ondersteuningsbehoefte met Marjolein en Gaby. Wat is nodig om aab individuele hulpvragen te kunnen werken en wat heeft de groep nodig?</t>
  </si>
  <si>
    <t>20-09-'21</t>
  </si>
  <si>
    <t>Nader te bepalen a.d.v. de hulpvragen en ontwikkelpunten.</t>
  </si>
  <si>
    <t xml:space="preserve">Overleg en afstemming over in te zetten interventies. Enerzijds qua coaching en ondersteuning voor Gaby. Anderzijds voor de groep (veilig en effectief leef- en leerklimaat). </t>
  </si>
  <si>
    <t>4. Coachingssessie 1</t>
  </si>
  <si>
    <t>5. Overleg MT</t>
  </si>
  <si>
    <t>€ 800,-</t>
  </si>
  <si>
    <t>15-09-'21</t>
  </si>
  <si>
    <t>23-09-'21</t>
  </si>
  <si>
    <t>13-10-'21</t>
  </si>
  <si>
    <t>,-</t>
  </si>
  <si>
    <t xml:space="preserve">Betreft: De Bolster, 1e factuur verbetertraject C.v.R.
</t>
  </si>
  <si>
    <t>Afstemmen wat nodig aan te halen doelen en individuele hulpvragen vaststellen (o.a. hoe kijkt de leerkracht naar de situatie en wat acht zij nodig?).
In totaal wordt 2 uur berekend:
Intake: 1 uur
Intakeverslag: 1 uur</t>
  </si>
  <si>
    <t>09-09-'21</t>
  </si>
  <si>
    <t>2. Verdiepend intakegesprek</t>
  </si>
  <si>
    <t>3. Sessie 1 t/m 3</t>
  </si>
  <si>
    <t>1. Intake coachtraject</t>
  </si>
  <si>
    <t>26-04-'21        27-05-'21                                      15-06-'21      05-07-'21     23-09-'21</t>
  </si>
  <si>
    <t>1,5 uur       1,5 uur      1,5 uur   1,5 uur     1,5 uur</t>
  </si>
  <si>
    <t>€ 120,-         € 120,-         € 120,-         € 120,-         € 120,-</t>
  </si>
  <si>
    <t>3. Sessies 1t/m 5</t>
  </si>
  <si>
    <t>Factuurnummer: 202144</t>
  </si>
  <si>
    <t>Factuurnummer: 202145</t>
  </si>
  <si>
    <t xml:space="preserve">1,5 uur       1,5 uur      </t>
  </si>
  <si>
    <t xml:space="preserve">€ 120,-         € 120,-         </t>
  </si>
  <si>
    <t>Berkenschool (ind. coaching P.Z.)</t>
  </si>
  <si>
    <t>Berkenschool (ind. coaching J.d.H.)</t>
  </si>
  <si>
    <t>DB22</t>
  </si>
  <si>
    <t>Plankier (ind. coaching w.L.)</t>
  </si>
  <si>
    <t>DB05</t>
  </si>
  <si>
    <t>Gabrie Mehen (ind. coaching G.S.)</t>
  </si>
  <si>
    <t>De Bolster (ind, coaching C.v.R.)</t>
  </si>
  <si>
    <t xml:space="preserve">Betreft: Berkenschool, 1e factuur coachtraject P.Z.
</t>
  </si>
  <si>
    <t xml:space="preserve">07-09-'21        06-10-'21                                   </t>
  </si>
  <si>
    <t>23-08-'21</t>
  </si>
  <si>
    <t>€ 400,-</t>
  </si>
  <si>
    <t>DB23</t>
  </si>
  <si>
    <t>Debiteurnr: DB23</t>
  </si>
  <si>
    <t>t.a.v. M.</t>
  </si>
  <si>
    <t>Walter van Amersfoortstraat 38</t>
  </si>
  <si>
    <t>3791 AR Achterveld</t>
  </si>
  <si>
    <t xml:space="preserve"> Coachingssessie 3</t>
  </si>
  <si>
    <t>16-10-'21</t>
  </si>
  <si>
    <t xml:space="preserve">2. Coachingssessies 8 </t>
  </si>
  <si>
    <t>Factuurnummer: 202148</t>
  </si>
  <si>
    <t xml:space="preserve">1. . startbijeenkomst
</t>
  </si>
  <si>
    <t>Wederzijdse kennismaking, globale uitleg over wat we gaan doen en hoe we werken, eerste aanzet tot reflecteren en eigenaarschap aan de hand van jullie praktijk (reflectie/actie) te weten de tegenvallende Cito-resultaten.</t>
  </si>
  <si>
    <t>€ 255,-         € 255,-</t>
  </si>
  <si>
    <t>2x48 km à €0,25</t>
  </si>
  <si>
    <t>€ 255,-</t>
  </si>
  <si>
    <t>Factuurnummer: 202149</t>
  </si>
  <si>
    <t>vb. 2 uur</t>
  </si>
  <si>
    <t xml:space="preserve">uitv. 2 uur
</t>
  </si>
  <si>
    <t>Ingedikte’ versie van onze training kindgesprekken. 
Voor alle teamleden die nog niet eerder deelnamen 
en als ‘opfris’ voor wie daar behoefte aan heeft.</t>
  </si>
  <si>
    <t xml:space="preserve"> Amersfoort-Soest-Soest-Amersfoort</t>
  </si>
  <si>
    <t>1xAmersfoort Apeldoorn- Apeldoorn- Amersfoort</t>
  </si>
  <si>
    <t>2x9 km à €0,25</t>
  </si>
  <si>
    <t>Factuurnummer: 202150</t>
  </si>
  <si>
    <t>1. Ondersteuning APO's</t>
  </si>
  <si>
    <t>12-10-'21</t>
  </si>
  <si>
    <t>18-08-'21</t>
  </si>
  <si>
    <t>07-09-'21</t>
  </si>
  <si>
    <t>3. Studiemiddag</t>
  </si>
  <si>
    <t>Met het hele team kijken naar wat een leerteam eigenlijk is, waarom het belangrijk is en hoe het vorm kan krijgen op de Sprong.</t>
  </si>
  <si>
    <t>21-09-'21</t>
  </si>
  <si>
    <t>Factuurnummer: 202151</t>
  </si>
  <si>
    <t>Diverse observaties en nabesprekingen, overleg 
met MT en online voorbereiding collegiale 
consultatie.</t>
  </si>
  <si>
    <t>06-10-'21        07-10-'21</t>
  </si>
  <si>
    <t>vb. 9 uur</t>
  </si>
  <si>
    <t xml:space="preserve">uitv. 9 uur
</t>
  </si>
  <si>
    <t>07-10-'21</t>
  </si>
  <si>
    <t>Factuurnummer: 202152</t>
  </si>
  <si>
    <t xml:space="preserve">1. Startbijeenkomst
</t>
  </si>
  <si>
    <t>Onderwerp Kindgesprekken. Samen kijken waar we staan, waarom, voeren we deze gesprekken, hoe vinden we dat ze er uit moeten zien. Wat voor vragen kun je stellen, oefenen.</t>
  </si>
  <si>
    <t xml:space="preserve">1. Training deel 1
</t>
  </si>
  <si>
    <t>Amersfoort-Driebergen-Amersfoort</t>
  </si>
  <si>
    <t>2x20 km à €0,25</t>
  </si>
  <si>
    <t>€ 5,-</t>
  </si>
  <si>
    <t>vb. 2,5 uur</t>
  </si>
  <si>
    <t>€ 200,-         € 200,-</t>
  </si>
  <si>
    <t xml:space="preserve">Zonnewende teamondersteuning startbijeenkomst </t>
  </si>
  <si>
    <t>De Werveling, startbijeenkomst kindgesprekken</t>
  </si>
  <si>
    <t>De Oorsprong, training kindgesprekken d.1.</t>
  </si>
  <si>
    <t>Factuurnummer: 202153</t>
  </si>
  <si>
    <t xml:space="preserve">Kennismaking team, uitleg over traject met aandacht 
voor WHY-HOW-WHAT. Wat kan het team van ons 
verwachten en wat verwachten wij van hen. Aftrap m.b.t visie op educatief partnerschap met ouders: wat verstaan we hieronder? </t>
  </si>
  <si>
    <t xml:space="preserve"> Amersfoort-DenBosch-DenBosch-Amersfoort</t>
  </si>
  <si>
    <t>2x70 km à €0,25</t>
  </si>
  <si>
    <t>KC de Wijboom, naar educatief partnerschap met ouders</t>
  </si>
  <si>
    <t xml:space="preserve">Betreft: Berkenschool, intensieve ondersteuning gr. 4. coachtraject J.V.
</t>
  </si>
  <si>
    <t xml:space="preserve">Betreft: Berkenschool, 1e factuur coachtraject J.d.H.
</t>
  </si>
  <si>
    <t>Betreft: De St. jozefschool, 2e factuur coachingstraject M.G.</t>
  </si>
  <si>
    <t xml:space="preserve">Betreft De Zonnewende, startbijeenkomst teamondersteuning
</t>
  </si>
  <si>
    <t xml:space="preserve">Betreft: De Werveling, startbijeenkomst kindgesprekken
</t>
  </si>
  <si>
    <t xml:space="preserve">Betreft: De Sprong, vervolg Communicatie en verbinding 
</t>
  </si>
  <si>
    <t xml:space="preserve">Betreft: De Morgenster, teamtraject communicatie en verbinding, op weg naar duurzame onderwijsverbetering
</t>
  </si>
  <si>
    <t xml:space="preserve">Betreft: De Oorsprong, training kindgesprekken d.1
</t>
  </si>
  <si>
    <t xml:space="preserve">Betreft: KC De Wijboom, Teamontwikkeling naar educatief partnerschap met ouders
</t>
  </si>
  <si>
    <t xml:space="preserve">Zonnewende teamondersteuning </t>
  </si>
  <si>
    <t>Invulling leerteams in de praktijk plus analyse 
van eigen rol.</t>
  </si>
  <si>
    <t>Factuurdatum: 21-12-'21</t>
  </si>
  <si>
    <t xml:space="preserve">Betreft: Het Plankier, 2e factuur coachingstraject W.L.
</t>
  </si>
  <si>
    <t xml:space="preserve"> 3. Coachingssessie 5 t/m 7</t>
  </si>
  <si>
    <t>5. Eindvaluatie</t>
  </si>
  <si>
    <t>11-11-'21</t>
  </si>
  <si>
    <t>23-11-'21</t>
  </si>
  <si>
    <t>29-11-'21</t>
  </si>
  <si>
    <t>3x128km à €0,29 per km.</t>
  </si>
  <si>
    <t>21-12-'21</t>
  </si>
  <si>
    <t>1. Sessie 4 t/m 8</t>
  </si>
  <si>
    <t>5. Tussenevaluatie 1 &amp; 2</t>
  </si>
  <si>
    <t>Verdere afstemming over (persoonlijke) ondersteuningsbehoefte met Mirjam en Carla. Wat is nodig om aan individuele hulpvragen te kunnen werken en wat heeft de groep nodig? Welke doelen moeten worden gehaald?</t>
  </si>
  <si>
    <t>04-11-'21     23-11-'21</t>
  </si>
  <si>
    <t>2 uur                1 uur</t>
  </si>
  <si>
    <t>€ 160,-         € 80,-</t>
  </si>
  <si>
    <t>28-10-'21    04-11-'21      25-11-'21     09-12-'21     16-12-'21</t>
  </si>
  <si>
    <t xml:space="preserve">2 uur                2 uur               2 uur                2 uur                2 uur  </t>
  </si>
  <si>
    <t xml:space="preserve">€ 160,-          € 160,-          € 160,-           € 160,-          € 160,- </t>
  </si>
  <si>
    <t>16-12-'21</t>
  </si>
  <si>
    <t>€ 1960,-</t>
  </si>
  <si>
    <t xml:space="preserve">Betreft: De Bolster, 2e factuur verbetertraject C.v.R.
</t>
  </si>
  <si>
    <t xml:space="preserve">Betreft: Prins Willem-Alexanderschool, 4e factuur coachtraject Jeanine Hulshof.
</t>
  </si>
  <si>
    <t>28-10-'21</t>
  </si>
  <si>
    <t>07-12-'21</t>
  </si>
  <si>
    <t>15-12-'21</t>
  </si>
  <si>
    <t xml:space="preserve">Coachingssessies        9 t/m11 </t>
  </si>
  <si>
    <t>1. Tussenevaluatie vervolg coachtraject</t>
  </si>
  <si>
    <t>26-10-'21</t>
  </si>
  <si>
    <t>2. Wekelijkse coachingsmomenten week 44 t/m 50</t>
  </si>
  <si>
    <t>02-11-'21      09-11-'21      15-11-'21     23-11-'21    30-11-'21    07-12-'21      14-12-'21     21-12-'21</t>
  </si>
  <si>
    <t>Samen met Eefje en Jeanette teruggeblikt op de intensieve coaching en het eerste blok van het schooljaar. Samen worden de ontwikkelpunten en afspraken voor het vervolg van het coachtraject gemaakt.
Tussenevaluatie: 1 uur
verslag: 1 uur</t>
  </si>
  <si>
    <t xml:space="preserve">Betreft: Berkenschool, 2e factuur coachtraject P.Z.
</t>
  </si>
  <si>
    <t>Factuurnummer: 202157</t>
  </si>
  <si>
    <t>Factuurnummer: 202158</t>
  </si>
  <si>
    <t xml:space="preserve">02-11-'21        </t>
  </si>
  <si>
    <t xml:space="preserve">1,5 uur       </t>
  </si>
  <si>
    <t xml:space="preserve">€ 120,-         </t>
  </si>
  <si>
    <t>3. Sessies 6</t>
  </si>
  <si>
    <t>Factuurnummer: 202159</t>
  </si>
  <si>
    <t xml:space="preserve">Betreft: Berkenschool, 2e factuur coachtraject J.d.H.
</t>
  </si>
  <si>
    <t xml:space="preserve">02-11-'21        24-11-'21     30-11-'21     20-12-'21                                  </t>
  </si>
  <si>
    <t xml:space="preserve">1,5 uur       1,5 uur      1,5 uur      1,5 uur      </t>
  </si>
  <si>
    <t xml:space="preserve">€ 120,-         € 120,-         € 120,-          € 120,-   </t>
  </si>
  <si>
    <t>€ 500,-</t>
  </si>
  <si>
    <t xml:space="preserve">Betreft: Gabrie Mehenschool, 2e factuur coachingstraject G.S.
</t>
  </si>
  <si>
    <t>3. Intensieve ondersteuning in de groep week 44 t/m 50</t>
  </si>
  <si>
    <t>27-10-'21</t>
  </si>
  <si>
    <t>1. Tussenevaluatie</t>
  </si>
  <si>
    <t xml:space="preserve">2. Coachingssessie </t>
  </si>
  <si>
    <t xml:space="preserve">Verschillende dagdelen meedraaien in de groep, leekracht begeleiden, adviezen geven, overleg met directeur, leerkracht en ib'er.                                                   Daarnaast wordt de zijdelings de groep begeleid in het werken aan een veilig en effectief leer- en leefklimaat. Denk hierbij aan: rist, focus en aandacht, verantwoordelijkheid en zelfstandigheid. </t>
  </si>
  <si>
    <t xml:space="preserve">                        8,5 uur                                                                                                           </t>
  </si>
  <si>
    <r>
      <rPr>
        <b/>
        <sz val="10"/>
        <rFont val="Arial"/>
        <family val="2"/>
      </rPr>
      <t xml:space="preserve">Week 44:    </t>
    </r>
    <r>
      <rPr>
        <sz val="10"/>
        <rFont val="Arial"/>
        <family val="2"/>
      </rPr>
      <t xml:space="preserve">      ma t/m woe en vrij </t>
    </r>
  </si>
  <si>
    <r>
      <rPr>
        <b/>
        <sz val="10"/>
        <rFont val="Arial"/>
        <family val="2"/>
      </rPr>
      <t xml:space="preserve">Week 45:      </t>
    </r>
    <r>
      <rPr>
        <sz val="10"/>
        <rFont val="Arial"/>
        <family val="2"/>
      </rPr>
      <t xml:space="preserve">     ma, woe, vrij  </t>
    </r>
  </si>
  <si>
    <r>
      <rPr>
        <b/>
        <sz val="10"/>
        <rFont val="Arial"/>
        <family val="2"/>
      </rPr>
      <t>Week 49:</t>
    </r>
    <r>
      <rPr>
        <sz val="10"/>
        <rFont val="Arial"/>
        <family val="2"/>
      </rPr>
      <t xml:space="preserve">          ma t/m woe en vrij</t>
    </r>
  </si>
  <si>
    <t xml:space="preserve">                       8 uur</t>
  </si>
  <si>
    <t xml:space="preserve">                        12 uur</t>
  </si>
  <si>
    <t xml:space="preserve">                      9,15 uur</t>
  </si>
  <si>
    <t xml:space="preserve">                       12,5 uur</t>
  </si>
  <si>
    <t xml:space="preserve">                       20,15 uur</t>
  </si>
  <si>
    <t xml:space="preserve">                € 680,-</t>
  </si>
  <si>
    <t>€ 960,-</t>
  </si>
  <si>
    <t>€ 732,-</t>
  </si>
  <si>
    <t>€ 1612,-</t>
  </si>
  <si>
    <r>
      <rPr>
        <b/>
        <sz val="10"/>
        <rFont val="Arial"/>
        <family val="2"/>
      </rPr>
      <t xml:space="preserve">Week 46:   </t>
    </r>
    <r>
      <rPr>
        <sz val="10"/>
        <rFont val="Arial"/>
        <family val="2"/>
      </rPr>
      <t xml:space="preserve">       ma t/m woe </t>
    </r>
  </si>
  <si>
    <r>
      <rPr>
        <b/>
        <sz val="10"/>
        <rFont val="Arial"/>
        <family val="2"/>
      </rPr>
      <t xml:space="preserve">Week 47: </t>
    </r>
    <r>
      <rPr>
        <sz val="10"/>
        <rFont val="Arial"/>
        <family val="2"/>
      </rPr>
      <t xml:space="preserve">         ma, woe en vrij</t>
    </r>
  </si>
  <si>
    <r>
      <rPr>
        <b/>
        <sz val="10"/>
        <rFont val="Arial"/>
        <family val="2"/>
      </rPr>
      <t xml:space="preserve">Week 48: </t>
    </r>
    <r>
      <rPr>
        <sz val="10"/>
        <rFont val="Arial"/>
        <family val="2"/>
      </rPr>
      <t xml:space="preserve">         ma t/m woe</t>
    </r>
  </si>
  <si>
    <r>
      <rPr>
        <b/>
        <sz val="10"/>
        <rFont val="Arial"/>
        <family val="2"/>
      </rPr>
      <t>Week 50:</t>
    </r>
    <r>
      <rPr>
        <sz val="10"/>
        <rFont val="Arial"/>
        <family val="2"/>
      </rPr>
      <t xml:space="preserve">          ma t/m vrij</t>
    </r>
  </si>
  <si>
    <t>€ 6504,-</t>
  </si>
  <si>
    <t xml:space="preserve">2 uur          2 uur          2 uur           2 uur          2 uur          2 uur           2 uur           1 uur  </t>
  </si>
  <si>
    <t>€ 160,-         € 160,-          € 160,-         € 160,-         € 160,-         € 160,-         € 160,-         € 80,-</t>
  </si>
  <si>
    <t>€ 1360,-</t>
  </si>
  <si>
    <t xml:space="preserve">Betreft: Kon-Tiki, 1e factuur coachtraject J.M
</t>
  </si>
  <si>
    <t>02-11-'21</t>
  </si>
  <si>
    <t>08-11-'21</t>
  </si>
  <si>
    <t>22-11-'21</t>
  </si>
  <si>
    <t xml:space="preserve">Betreft: Kon-Tiki, 2e factuur coachtraject C.v.L.
</t>
  </si>
  <si>
    <t>24-11-'21</t>
  </si>
  <si>
    <t>Kon-Tiki (1e factuur coachtraject J.M)</t>
  </si>
  <si>
    <t>Kon-Tiki (2e factuur coachtraject C.v.L.)</t>
  </si>
  <si>
    <t>Kon-Tiki (2e factuur coachtraject R.v.W)</t>
  </si>
  <si>
    <t>Kon-Tiki (2e factuur coachtraject M.W.)</t>
  </si>
  <si>
    <t>Kon-Tiki (1e factuur coachtraject E.v.d.B.)</t>
  </si>
  <si>
    <t>Kon-Tiki (1e factuur coachtraject A.B.)</t>
  </si>
  <si>
    <t>Plankier (ind. coaching W.L.)</t>
  </si>
  <si>
    <t xml:space="preserve">Betreft: Kon-Tiki, 2e factuur coachtraject R.v.W.
</t>
  </si>
  <si>
    <t xml:space="preserve"> Sessie 1 en 2</t>
  </si>
  <si>
    <t>Factuurdatum: 22-12-'21</t>
  </si>
  <si>
    <t>1. Sessie 1 t/m 3</t>
  </si>
  <si>
    <t>2. Overlegmomenten met het MT</t>
  </si>
  <si>
    <t>01-11-'21</t>
  </si>
  <si>
    <t>03-11-'21       15-12-'21</t>
  </si>
  <si>
    <t>1,5 uur            1 uur</t>
  </si>
  <si>
    <t>€ 120,-               € 80,-</t>
  </si>
  <si>
    <t>€ 680,-</t>
  </si>
  <si>
    <t xml:space="preserve">Betreft: Kon-Tiki, 2e factuur coachtraject M.W.
</t>
  </si>
  <si>
    <t xml:space="preserve">Betreft: Kon-Tiki, 1e factuur coachtraject E.v.d.B.
</t>
  </si>
  <si>
    <t>1. Sessie 1 t/m 4</t>
  </si>
  <si>
    <t>02-12-'21</t>
  </si>
  <si>
    <t>16-11-'21</t>
  </si>
  <si>
    <t>Nader te bepalen a.d.v. de hulpvragen en ontwikkelpunten. Gerichte klasbezoeken gelinkt aan de ontwikkelpunten i.c.m. afspraken omtrent planning, timemanagement, hulp vragen</t>
  </si>
  <si>
    <t>Maandelijks overleg met Mirelle en Anneloes/Lieke (woensdag).     Wat zien we aan ontwikkeling, voortgang van de leerkrachten? Welke trend is belangrijk om mee te nemen? Daarnaast dient het als sparringsmoment voor casussen binnen het leerkrachtenteam.</t>
  </si>
  <si>
    <t>3. Sessie 1</t>
  </si>
  <si>
    <t>€160,-</t>
  </si>
  <si>
    <t>€ 520,-</t>
  </si>
  <si>
    <t xml:space="preserve">Betreft: Kon-Tiki, 1e factuur coachtraject A.B.
</t>
  </si>
  <si>
    <t>22-12-'21</t>
  </si>
  <si>
    <t>DB09</t>
  </si>
  <si>
    <t>Debiteurnr: DB09</t>
  </si>
  <si>
    <t>O.B.S. De Heerd</t>
  </si>
  <si>
    <t>T.a.v.  P. Frijhoff</t>
  </si>
  <si>
    <t xml:space="preserve">Betreft:De Heerd, 1e factuur coachtraject gr. 7/8
</t>
  </si>
  <si>
    <t>05-10-'21</t>
  </si>
  <si>
    <t>17-11-'21</t>
  </si>
  <si>
    <t>De Heerd (1e factuur ciachtraject gr. 7/8)</t>
  </si>
  <si>
    <t>DB24</t>
  </si>
  <si>
    <t>DB25</t>
  </si>
  <si>
    <t>KWS (1e factuur coachtraject A M.F.)</t>
  </si>
  <si>
    <t>Debiteurnr: DB24</t>
  </si>
  <si>
    <t xml:space="preserve">Betreft: Parkschool, 1e factuur coachingstraject E.v.H.
</t>
  </si>
  <si>
    <t xml:space="preserve"> </t>
  </si>
  <si>
    <t>2. Coachsessie1+2</t>
  </si>
  <si>
    <t xml:space="preserve">Nader te bepalen a.d.h.v. uitkomsten van de ontwikkelpunten en afhankelijk van de hulpvragen. 
</t>
  </si>
  <si>
    <t>01-12-'21</t>
  </si>
  <si>
    <t>04-11-'21</t>
  </si>
  <si>
    <t>Parkschool (1e factuur coachtraject Ev.H.)</t>
  </si>
  <si>
    <t>1. Online intake</t>
  </si>
  <si>
    <t>06-12-'21</t>
  </si>
  <si>
    <t xml:space="preserve">Betreft: KWS 1e factuur coachtraject AM. F.
</t>
  </si>
  <si>
    <t>P.C. De Parkschool</t>
  </si>
  <si>
    <t>t.a.v. D. Hos</t>
  </si>
  <si>
    <t>Raadhoven 2</t>
  </si>
  <si>
    <t>3813 LW Amersfoort</t>
  </si>
  <si>
    <t>S.B.O. KWS</t>
  </si>
  <si>
    <t>T.a.v.  D. Hos</t>
  </si>
  <si>
    <t>Raadhoven 3</t>
  </si>
  <si>
    <t>Debiteurnr: DB25</t>
  </si>
  <si>
    <t xml:space="preserve">Betreft: De Wijde Wereld, 1e factuur coachingstraject M.K.
</t>
  </si>
  <si>
    <t>Wiekslag 102</t>
  </si>
  <si>
    <t>3815 GS Amersfoort</t>
  </si>
  <si>
    <t>O.B.S. De Wijde Wereld</t>
  </si>
  <si>
    <t>t.a.v. mevrouw Wijdeven</t>
  </si>
  <si>
    <t>€ 280,-</t>
  </si>
  <si>
    <t>De Wijde Wereld (coachtraject M.K)</t>
  </si>
  <si>
    <t>De Wijde Wereld (coachtraject M.v.G.)</t>
  </si>
  <si>
    <t>2. Coachsessie 1</t>
  </si>
  <si>
    <t xml:space="preserve">Betreft: De Wijde Wereld, 1e factuur coachingstraject M.v.G.
</t>
  </si>
  <si>
    <t xml:space="preserve">Betreft: De Vuurvogel, 1e factuur coachingstraject E.v.D.
</t>
  </si>
  <si>
    <t>t.a.v. E. van Faassen</t>
  </si>
  <si>
    <t>Debiteurnr: DB26</t>
  </si>
  <si>
    <t>14-12-'21</t>
  </si>
  <si>
    <t xml:space="preserve">Betreft: Kla4, 1e factuur coachingstraject B.v.E.
</t>
  </si>
  <si>
    <t>08-12-'21</t>
  </si>
  <si>
    <t>Basisschool Kla4</t>
  </si>
  <si>
    <t>t.a.v. C. Heersink</t>
  </si>
  <si>
    <t>Asschatterweg 36B</t>
  </si>
  <si>
    <t>3831 JT Leusden</t>
  </si>
  <si>
    <t>De Vuurvogel (1e factuur coachtraject E.v.D.)</t>
  </si>
  <si>
    <t>DB26</t>
  </si>
  <si>
    <t>Kla4 (1e factuur coachtraject B.v.E.)</t>
  </si>
  <si>
    <t xml:space="preserve">1. Teambijeenkomst </t>
  </si>
  <si>
    <t>Reflecteren en eigenaarschap koppelen aan de missie/visie van de school. Wat betekent dit voor jouw school, je team, je bouw en jou als individu?</t>
  </si>
  <si>
    <t>vb. 3 uur               uitv. 3 uur</t>
  </si>
  <si>
    <t>Evaluatie studiemoment, inzichten en kernpunten boven tafel krijgen, vervolg inplannen.</t>
  </si>
  <si>
    <t>2. Begeleiding MT (online)</t>
  </si>
  <si>
    <t>€ 85,-           € 85,-</t>
  </si>
  <si>
    <t>3. Reiskosten</t>
  </si>
  <si>
    <t>1x Amersfoort-Apeldoorn-Apeldoorn-Amersfoort</t>
  </si>
  <si>
    <t>2x48 km á €0,25</t>
  </si>
  <si>
    <t>€12,-</t>
  </si>
  <si>
    <t>€ 255,-          € 255,-</t>
  </si>
  <si>
    <t xml:space="preserve">Betreft: Zevensprong, startbijeenkomst kindgesprekken
</t>
  </si>
  <si>
    <t xml:space="preserve">1. Startbijeenkomst </t>
  </si>
  <si>
    <t>Wederzijdse kennismaking. Nadruk op ‘why’ en wat basistheorie, tips en trics over hoe een goed kindgesprek te voeren</t>
  </si>
  <si>
    <t>25-10-'21</t>
  </si>
  <si>
    <t>1x Amersfoort-Zwolle-Zwolle-Amersfoort</t>
  </si>
  <si>
    <t>2x80 km á €0,25</t>
  </si>
  <si>
    <t>€20,-</t>
  </si>
  <si>
    <t>€530,-</t>
  </si>
  <si>
    <t>€692,-</t>
  </si>
  <si>
    <t>Zevensprong, startbijeenkomst kindgesprekken</t>
  </si>
  <si>
    <t xml:space="preserve">Betreft: De Sprong, Vervolg communicatie en verbinding
</t>
  </si>
  <si>
    <t xml:space="preserve">Bijwonen overleggen, geven van feedback, korte 
schriftelijke verslaglegging. </t>
  </si>
  <si>
    <t xml:space="preserve">1. Ondersteuning in de bouwen </t>
  </si>
  <si>
    <t>€ 240,-          € 240,-</t>
  </si>
  <si>
    <t>2. Caoching MT, IB         en APO's</t>
  </si>
  <si>
    <t>Intake met Dineke(IB), coaching MT, Bijwonen APO overleg, geven van feedback, korte schriftelijke verslaglegging.</t>
  </si>
  <si>
    <t>09-11-'21</t>
  </si>
  <si>
    <t>vb. 5 uur               uitv. 5 uur</t>
  </si>
  <si>
    <t>€ 400,-          € 400,-</t>
  </si>
  <si>
    <t>4x117 km á €0,25</t>
  </si>
  <si>
    <t>De Sprong, Vervolg communicatie en verbinding</t>
  </si>
  <si>
    <t>Kennismaken met het team, uitleggen wat we gaan doen. 
Aan de slag met de uitkomsten van de teamrollen van 
Belbin. Wie zijn wij als team en wie ben ik in het team?</t>
  </si>
  <si>
    <t>1. Startbijeenkomst</t>
  </si>
  <si>
    <t>1x Amersfoort-Breukelen-Breukelen-Amersfoort</t>
  </si>
  <si>
    <t>2x50 km á €0,25</t>
  </si>
  <si>
    <t>29-10-'21</t>
  </si>
  <si>
    <t>vb. 6 uur               uitv. 6 uur</t>
  </si>
  <si>
    <t>€ 510,-          € 510,-</t>
  </si>
  <si>
    <t xml:space="preserve">Betreft: De Schepershoek, missie-visietraject
</t>
  </si>
  <si>
    <t>1x Amersfoort-Hoogeveen-Hoogeveen-Amersfoort</t>
  </si>
  <si>
    <t xml:space="preserve">1. Begeleiding MT </t>
  </si>
  <si>
    <t>Bijwonen overleg, geven feedback</t>
  </si>
  <si>
    <t>03-11-'21</t>
  </si>
  <si>
    <t xml:space="preserve">2,5 uur               </t>
  </si>
  <si>
    <t>2. Strategiesessie MT</t>
  </si>
  <si>
    <t>Strategiesessie met het MT (Wat voor leiding heeft de Zonnewende nodig) en bouwoverleggen bijwonen</t>
  </si>
  <si>
    <t>vb. 8,5 uur               uitv. 8,5 uur</t>
  </si>
  <si>
    <t>€ 722,50           € 722,50</t>
  </si>
  <si>
    <t>3x Amersfoort-Apeldoorn-Apeldoorn-Amersfoort</t>
  </si>
  <si>
    <t>6x48 km á €0,25</t>
  </si>
  <si>
    <t>€36,-</t>
  </si>
  <si>
    <t>3. Studiedag feedback</t>
  </si>
  <si>
    <t>Met beide locaties een studiemoment gehad over het onderwerp feedback</t>
  </si>
  <si>
    <t>19-11-'21</t>
  </si>
  <si>
    <t xml:space="preserve">vb. 3,5 uur </t>
  </si>
  <si>
    <t>uitv. 7 uur</t>
  </si>
  <si>
    <t>€2586,-</t>
  </si>
  <si>
    <t xml:space="preserve">Betreft: Zonnewende, teamondersteuning reflectie en eigenaarschap
</t>
  </si>
  <si>
    <t>Zonnewende, teamondersteuning reflectie en eigenaarschap</t>
  </si>
  <si>
    <t>De Schepershoek, missie-visietraject</t>
  </si>
  <si>
    <t xml:space="preserve">Betreft: Oorsprong, training kindgesprekken deel 2
</t>
  </si>
  <si>
    <t>Onderwerp Kindgesprekken. Ervaringen delen, hoe houdt je regie en blijf je toch volgen, gespreksmodel, communicatieniveau ’s, oefenen.</t>
  </si>
  <si>
    <t>10-11-'21</t>
  </si>
  <si>
    <t>vb. 2,5 uur               uitv. 2,5 uur</t>
  </si>
  <si>
    <t>De Oorsprong, training kindgesprekken d.1</t>
  </si>
  <si>
    <t>1x Amersfoort-Driebergen-Driebergen-Amersfoort</t>
  </si>
  <si>
    <t>2x20 km á €0,25</t>
  </si>
  <si>
    <t>€ 200,-          € 200,-</t>
  </si>
  <si>
    <t>1. Training deel 2</t>
  </si>
  <si>
    <t>1. Studiedag Friedesheim</t>
  </si>
  <si>
    <t>Gesprektechnieken, vragen stellen het echte gesprek met elkaar aangaan.                                                                    NB: Halve dag al eerder gefactureerd, dus helft van dit bedrag in mindering gebracht!</t>
  </si>
  <si>
    <t>18-11-'21</t>
  </si>
  <si>
    <t>vb. 8 uur               uitv. 8 uur</t>
  </si>
  <si>
    <t>€ 640,-          € 640,-</t>
  </si>
  <si>
    <t>2x112 km á €0,20</t>
  </si>
  <si>
    <t>De Morgenster, teamtraject communicatie en verbinding</t>
  </si>
  <si>
    <t xml:space="preserve">Betreft: KC De Wijboom, teamontwikkeling naar educatief partnerschap met ouders
</t>
  </si>
  <si>
    <t>1x Amersfoort-DenBosch-DenBosch-Amersfoort</t>
  </si>
  <si>
    <t>KC De Wijboom, teamontw. naar educatief partnerschap met ouders</t>
  </si>
  <si>
    <t>Kennismaking team, uitleg over traject met aandacht voor WHY-HOW-WHAT. Wat kan het team van ons verwachten en wat verwachten wij van hen. Aftrap m.b.t visie op educatief partnerschap met ouders: wat verstaan we eronder?</t>
  </si>
  <si>
    <t>Printen voor teambijeenkomsten</t>
  </si>
  <si>
    <t>1. Onlyprint</t>
  </si>
  <si>
    <t>04-11-'21            21-10-'21</t>
  </si>
  <si>
    <t>€ 38,35          € 8,60</t>
  </si>
  <si>
    <t>Printen Onlyprint</t>
  </si>
  <si>
    <t xml:space="preserve">Betreft: Berkenschool, intensieve coaching gr. 4. coachtraject J.V.
</t>
  </si>
  <si>
    <t xml:space="preserve">Betreft: Zonnewende, teamondersteuning zicht op visie
</t>
  </si>
  <si>
    <t xml:space="preserve">Betreft: Aanschaf materialen
</t>
  </si>
  <si>
    <t>herinnering 15-06-22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</si>
</sst>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 &quot;€&quot;\ * #,##0.00_ ;_ &quot;€&quot;\ * \-#,##0.00_ ;_ &quot;€&quot;\ * &quot;-&quot;??_ ;_ @_ "/>
    <numFmt numFmtId="164" formatCode="_ [$€-413]\ * #,##0.00_ ;_ [$€-413]\ * \-#,##0.00_ ;_ [$€-413]\ * &quot;-&quot;??_ ;_ @_ "/>
    <numFmt numFmtId="165" formatCode="[$-413]d/mmm/yy;@"/>
    <numFmt numFmtId="166" formatCode="@\ \ "/>
    <numFmt numFmtId="167" formatCode="&quot;€&quot;\ #,##0.00"/>
  </numFmts>
  <fonts count="26"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sz val="8"/>
      <name val="Arial"/>
      <family val="2"/>
    </font>
    <font>
      <sz val="11"/>
      <color rgb="FF000000"/>
      <name val="Arial"/>
      <family val="2"/>
    </font>
    <font>
      <sz val="12"/>
      <name val="Arial"/>
      <family val="2"/>
    </font>
    <font>
      <u/>
      <sz val="10"/>
      <name val="Arial"/>
      <family val="2"/>
    </font>
    <font>
      <sz val="11"/>
      <name val="Calibri"/>
      <family val="2"/>
    </font>
    <font>
      <b/>
      <sz val="10.5"/>
      <color rgb="FF202124"/>
      <name val="Arial"/>
      <family val="2"/>
    </font>
    <font>
      <sz val="10.5"/>
      <color rgb="FF222222"/>
      <name val="Arial"/>
      <family val="2"/>
    </font>
  </fonts>
  <fills count="5">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cellStyleXfs>
  <cellXfs count="260">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0" fontId="10"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15" fillId="0" borderId="0" xfId="2" applyFont="1" applyAlignment="1" applyProtection="1">
      <alignment horizontal="right"/>
    </xf>
    <xf numFmtId="0" fontId="3" fillId="0" borderId="0" xfId="0" applyFont="1"/>
    <xf numFmtId="0" fontId="13" fillId="0" borderId="0" xfId="2" applyFont="1" applyAlignment="1" applyProtection="1">
      <alignment horizontal="right"/>
    </xf>
    <xf numFmtId="0" fontId="16" fillId="0" borderId="0" xfId="0" applyFont="1"/>
    <xf numFmtId="0" fontId="14" fillId="0" borderId="0" xfId="2" applyAlignment="1" applyProtection="1"/>
    <xf numFmtId="0" fontId="3" fillId="0" borderId="0" xfId="0" applyFont="1" applyAlignment="1">
      <alignment horizontal="left" vertical="top" indent="1"/>
    </xf>
    <xf numFmtId="165" fontId="4" fillId="0" borderId="0" xfId="0" applyNumberFormat="1" applyFont="1" applyAlignment="1">
      <alignment horizontal="left"/>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center" vertical="center"/>
    </xf>
    <xf numFmtId="44" fontId="18" fillId="2" borderId="4" xfId="0" applyNumberFormat="1" applyFont="1" applyFill="1" applyBorder="1" applyAlignment="1">
      <alignment horizontal="center" vertical="center"/>
    </xf>
    <xf numFmtId="14" fontId="4" fillId="0" borderId="0" xfId="0" applyNumberFormat="1" applyFont="1" applyAlignment="1">
      <alignment vertical="center"/>
    </xf>
    <xf numFmtId="167" fontId="4" fillId="3" borderId="7" xfId="1" applyNumberFormat="1" applyFill="1" applyBorder="1" applyAlignment="1">
      <alignment horizontal="left" vertical="top" wrapText="1"/>
    </xf>
    <xf numFmtId="167" fontId="4" fillId="3" borderId="5" xfId="1" applyNumberFormat="1" applyFill="1" applyBorder="1" applyAlignment="1">
      <alignment horizontal="left" vertical="top" wrapText="1"/>
    </xf>
    <xf numFmtId="0" fontId="16" fillId="0" borderId="0" xfId="0" applyFont="1" applyAlignment="1">
      <alignment horizontal="left" vertical="top"/>
    </xf>
    <xf numFmtId="0" fontId="3" fillId="0" borderId="0" xfId="0" applyFont="1" applyAlignment="1">
      <alignment horizontal="center"/>
    </xf>
    <xf numFmtId="14" fontId="4" fillId="0" borderId="7" xfId="0" applyNumberFormat="1" applyFont="1" applyBorder="1" applyAlignment="1">
      <alignment horizontal="left" vertical="top" wrapText="1"/>
    </xf>
    <xf numFmtId="0" fontId="4" fillId="0" borderId="5" xfId="0" applyFont="1" applyBorder="1" applyAlignment="1">
      <alignment vertical="top" wrapText="1"/>
    </xf>
    <xf numFmtId="0" fontId="0" fillId="0" borderId="0" xfId="0" applyAlignment="1">
      <alignment horizontal="left" vertical="top" wrapText="1"/>
    </xf>
    <xf numFmtId="0" fontId="0" fillId="0" borderId="0" xfId="0" applyAlignment="1">
      <alignment horizontal="left"/>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6" xfId="0" applyFont="1" applyBorder="1" applyAlignment="1">
      <alignment horizontal="left" vertical="top" wrapText="1"/>
    </xf>
    <xf numFmtId="0" fontId="4" fillId="0" borderId="0" xfId="0" applyFont="1" applyAlignment="1">
      <alignment horizontal="left"/>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horizontal="left"/>
    </xf>
    <xf numFmtId="0" fontId="4" fillId="0" borderId="6" xfId="0" applyFont="1" applyBorder="1" applyAlignment="1">
      <alignment horizontal="left" vertical="top" wrapText="1"/>
    </xf>
    <xf numFmtId="0" fontId="16" fillId="0" borderId="0" xfId="0" applyFont="1" applyAlignment="1">
      <alignment vertical="center"/>
    </xf>
    <xf numFmtId="14" fontId="4" fillId="0" borderId="3" xfId="0" applyNumberFormat="1" applyFont="1" applyBorder="1" applyAlignment="1">
      <alignment horizontal="left" vertical="top" wrapText="1"/>
    </xf>
    <xf numFmtId="167" fontId="4" fillId="3" borderId="4" xfId="1" applyNumberFormat="1" applyFill="1" applyBorder="1" applyAlignment="1">
      <alignment vertical="top" wrapText="1"/>
    </xf>
    <xf numFmtId="0" fontId="4" fillId="0" borderId="5" xfId="0" applyFont="1" applyBorder="1" applyAlignment="1">
      <alignment horizontal="left" vertical="top" wrapText="1"/>
    </xf>
    <xf numFmtId="0" fontId="4" fillId="0" borderId="9" xfId="0" applyFont="1" applyBorder="1" applyAlignment="1">
      <alignment horizontal="lef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xf>
    <xf numFmtId="167" fontId="4" fillId="3" borderId="10" xfId="1" applyNumberFormat="1" applyFill="1" applyBorder="1" applyAlignment="1">
      <alignment horizontal="left" vertical="top" wrapText="1"/>
    </xf>
    <xf numFmtId="0" fontId="4" fillId="0" borderId="5" xfId="0" applyFont="1" applyBorder="1" applyAlignment="1">
      <alignment vertical="center"/>
    </xf>
    <xf numFmtId="0" fontId="4" fillId="0" borderId="7" xfId="0" applyFont="1" applyBorder="1" applyAlignment="1">
      <alignment vertical="center"/>
    </xf>
    <xf numFmtId="0" fontId="4" fillId="0" borderId="11" xfId="0" applyFont="1" applyBorder="1" applyAlignment="1">
      <alignment horizontal="left" vertical="top" wrapText="1"/>
    </xf>
    <xf numFmtId="0" fontId="4" fillId="0" borderId="7" xfId="0" applyFont="1" applyBorder="1" applyAlignment="1">
      <alignment horizontal="left" vertical="top"/>
    </xf>
    <xf numFmtId="0" fontId="4" fillId="0" borderId="5" xfId="0" applyFont="1" applyBorder="1" applyAlignment="1">
      <alignment vertical="top"/>
    </xf>
    <xf numFmtId="0" fontId="4" fillId="0" borderId="11" xfId="0" applyFont="1" applyBorder="1" applyAlignment="1">
      <alignment vertical="top"/>
    </xf>
    <xf numFmtId="167" fontId="4" fillId="3" borderId="11" xfId="1" applyNumberFormat="1" applyFill="1" applyBorder="1" applyAlignment="1">
      <alignment horizontal="left" vertical="top" wrapText="1"/>
    </xf>
    <xf numFmtId="166" fontId="3" fillId="0" borderId="0" xfId="0" applyNumberFormat="1" applyFont="1" applyAlignment="1">
      <alignment horizontal="right" vertical="center"/>
    </xf>
    <xf numFmtId="167" fontId="3" fillId="4" borderId="7" xfId="1" applyNumberFormat="1" applyFont="1" applyFill="1" applyBorder="1" applyAlignment="1">
      <alignment horizontal="left" vertical="center" wrapText="1"/>
    </xf>
    <xf numFmtId="164" fontId="4" fillId="0" borderId="0" xfId="0" applyNumberFormat="1" applyFont="1" applyAlignment="1">
      <alignment horizontal="left"/>
    </xf>
    <xf numFmtId="167" fontId="4" fillId="3" borderId="3" xfId="1" applyNumberFormat="1" applyFill="1" applyBorder="1" applyAlignment="1">
      <alignment vertical="top" wrapText="1"/>
    </xf>
    <xf numFmtId="0" fontId="4" fillId="0" borderId="4" xfId="0" applyFont="1" applyBorder="1" applyAlignment="1">
      <alignment horizontal="left" vertical="top" wrapText="1"/>
    </xf>
    <xf numFmtId="0" fontId="4" fillId="0" borderId="10" xfId="0" applyFont="1" applyBorder="1" applyAlignment="1">
      <alignment horizontal="left" vertical="top" wrapText="1"/>
    </xf>
    <xf numFmtId="0" fontId="4" fillId="0" borderId="8" xfId="0" applyFont="1" applyBorder="1" applyAlignment="1">
      <alignment horizontal="left" vertical="top"/>
    </xf>
    <xf numFmtId="0" fontId="4" fillId="0" borderId="2" xfId="0" applyFont="1" applyBorder="1" applyAlignment="1">
      <alignment vertical="top" wrapText="1"/>
    </xf>
    <xf numFmtId="14" fontId="4" fillId="0" borderId="5" xfId="0" applyNumberFormat="1" applyFont="1" applyBorder="1" applyAlignment="1">
      <alignment vertical="top" wrapText="1"/>
    </xf>
    <xf numFmtId="0" fontId="4" fillId="0" borderId="9" xfId="0" applyFont="1" applyBorder="1" applyAlignment="1">
      <alignmen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3" xfId="0" applyFont="1" applyBorder="1" applyAlignment="1">
      <alignment vertical="top" wrapText="1"/>
    </xf>
    <xf numFmtId="14" fontId="4" fillId="0" borderId="11" xfId="0" applyNumberFormat="1" applyFont="1" applyBorder="1" applyAlignment="1">
      <alignment horizontal="left" vertical="top" wrapText="1"/>
    </xf>
    <xf numFmtId="0" fontId="4" fillId="0" borderId="7" xfId="0" applyFont="1" applyFill="1" applyBorder="1" applyAlignment="1">
      <alignment vertical="center"/>
    </xf>
    <xf numFmtId="166" fontId="4" fillId="0" borderId="7" xfId="0" applyNumberFormat="1" applyFont="1" applyFill="1" applyBorder="1" applyAlignment="1">
      <alignment horizontal="left" vertical="center"/>
    </xf>
    <xf numFmtId="167" fontId="4" fillId="3" borderId="7" xfId="1" applyNumberFormat="1" applyFont="1" applyFill="1" applyBorder="1" applyAlignment="1">
      <alignment horizontal="left" vertical="center" wrapText="1"/>
    </xf>
    <xf numFmtId="167" fontId="4" fillId="3" borderId="5" xfId="1" applyNumberFormat="1" applyFill="1" applyBorder="1" applyAlignment="1">
      <alignment vertical="top" wrapText="1"/>
    </xf>
    <xf numFmtId="167" fontId="4" fillId="3" borderId="11" xfId="1" applyNumberFormat="1" applyFill="1" applyBorder="1" applyAlignment="1">
      <alignment vertical="top" wrapText="1"/>
    </xf>
    <xf numFmtId="0" fontId="4" fillId="0" borderId="8" xfId="0" applyFont="1" applyBorder="1" applyAlignment="1">
      <alignment horizontal="left" vertical="top" wrapText="1"/>
    </xf>
    <xf numFmtId="167" fontId="4" fillId="3" borderId="7" xfId="1" applyNumberFormat="1" applyFill="1" applyBorder="1" applyAlignment="1">
      <alignment vertical="top" wrapText="1"/>
    </xf>
    <xf numFmtId="0" fontId="4" fillId="0" borderId="11" xfId="0" applyFont="1" applyBorder="1" applyAlignment="1">
      <alignment vertical="top" wrapText="1"/>
    </xf>
    <xf numFmtId="0" fontId="20" fillId="0" borderId="0" xfId="0" applyFont="1" applyAlignment="1">
      <alignment vertical="center"/>
    </xf>
    <xf numFmtId="0" fontId="21" fillId="0" borderId="0" xfId="0" applyFont="1"/>
    <xf numFmtId="0" fontId="4" fillId="0" borderId="11" xfId="0" applyFont="1" applyBorder="1" applyAlignment="1">
      <alignment horizontal="center" vertical="top" wrapText="1"/>
    </xf>
    <xf numFmtId="0" fontId="20" fillId="0" borderId="0" xfId="0" applyFont="1"/>
    <xf numFmtId="167" fontId="4" fillId="3" borderId="3" xfId="1" applyNumberFormat="1" applyFill="1" applyBorder="1" applyAlignment="1">
      <alignment horizontal="left" vertical="top" wrapText="1"/>
    </xf>
    <xf numFmtId="0" fontId="4" fillId="0" borderId="3" xfId="0" applyFont="1" applyBorder="1" applyAlignment="1">
      <alignment vertical="center"/>
    </xf>
    <xf numFmtId="0" fontId="4" fillId="0" borderId="3" xfId="0" applyFont="1" applyBorder="1" applyAlignment="1">
      <alignment horizontal="left" vertical="top"/>
    </xf>
    <xf numFmtId="0" fontId="4" fillId="0" borderId="10" xfId="0" applyFont="1" applyBorder="1" applyAlignment="1">
      <alignment horizontal="left" vertical="top"/>
    </xf>
    <xf numFmtId="0" fontId="0" fillId="0" borderId="7" xfId="0" applyBorder="1" applyAlignment="1">
      <alignment vertical="center"/>
    </xf>
    <xf numFmtId="167" fontId="4" fillId="3" borderId="8" xfId="1" applyNumberFormat="1" applyFill="1" applyBorder="1" applyAlignment="1">
      <alignment horizontal="left" vertical="top" wrapText="1"/>
    </xf>
    <xf numFmtId="0" fontId="0" fillId="0" borderId="10" xfId="0" applyBorder="1" applyAlignment="1">
      <alignment vertical="center"/>
    </xf>
    <xf numFmtId="167" fontId="4" fillId="3" borderId="4" xfId="1" applyNumberFormat="1" applyFill="1" applyBorder="1" applyAlignment="1">
      <alignment horizontal="left" vertical="top" wrapText="1"/>
    </xf>
    <xf numFmtId="14" fontId="0" fillId="0" borderId="7" xfId="0" applyNumberFormat="1" applyBorder="1" applyAlignment="1">
      <alignment horizontal="left" vertical="top"/>
    </xf>
    <xf numFmtId="0" fontId="4" fillId="0" borderId="11" xfId="0" applyFont="1" applyBorder="1" applyAlignment="1">
      <alignment vertical="center"/>
    </xf>
    <xf numFmtId="167" fontId="4" fillId="3" borderId="14" xfId="1" applyNumberFormat="1" applyFill="1" applyBorder="1" applyAlignment="1">
      <alignment horizontal="left" vertical="top" wrapText="1"/>
    </xf>
    <xf numFmtId="0" fontId="4" fillId="0" borderId="2" xfId="0" applyFont="1" applyBorder="1" applyAlignment="1">
      <alignment horizontal="left" vertical="top"/>
    </xf>
    <xf numFmtId="0" fontId="4" fillId="0" borderId="9" xfId="0" applyFont="1" applyBorder="1" applyAlignment="1">
      <alignment horizontal="left" vertical="top"/>
    </xf>
    <xf numFmtId="0" fontId="4" fillId="0" borderId="0" xfId="0" applyFont="1" applyAlignment="1">
      <alignment horizontal="left"/>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0" xfId="0" applyFont="1" applyAlignment="1">
      <alignment horizontal="left"/>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44" fontId="4" fillId="0" borderId="0" xfId="0" applyNumberFormat="1" applyFont="1" applyAlignment="1">
      <alignment horizontal="left"/>
    </xf>
    <xf numFmtId="0" fontId="4" fillId="0" borderId="0" xfId="0" applyFont="1" applyAlignment="1">
      <alignment vertical="center"/>
    </xf>
    <xf numFmtId="44" fontId="4" fillId="3" borderId="11" xfId="0" applyNumberFormat="1" applyFont="1" applyFill="1" applyBorder="1" applyAlignment="1">
      <alignment horizontal="left" vertical="top"/>
    </xf>
    <xf numFmtId="167" fontId="3" fillId="0" borderId="0" xfId="1" applyNumberFormat="1" applyFont="1" applyFill="1" applyBorder="1" applyAlignment="1">
      <alignment horizontal="left" vertical="center" wrapText="1"/>
    </xf>
    <xf numFmtId="167" fontId="4" fillId="3" borderId="11" xfId="0" applyNumberFormat="1" applyFont="1" applyFill="1" applyBorder="1" applyAlignment="1">
      <alignment horizontal="left" vertical="top"/>
    </xf>
    <xf numFmtId="164" fontId="3" fillId="4" borderId="7" xfId="1" applyNumberFormat="1" applyFont="1" applyFill="1" applyBorder="1" applyAlignment="1">
      <alignment horizontal="left" vertical="center" wrapText="1"/>
    </xf>
    <xf numFmtId="0" fontId="4" fillId="0" borderId="3" xfId="0" applyFont="1" applyBorder="1" applyAlignment="1">
      <alignment vertical="center" wrapText="1"/>
    </xf>
    <xf numFmtId="0" fontId="4" fillId="0" borderId="5" xfId="0" applyFont="1" applyBorder="1" applyAlignment="1">
      <alignment vertical="center" wrapText="1"/>
    </xf>
    <xf numFmtId="14" fontId="4" fillId="0" borderId="7" xfId="0" applyNumberFormat="1" applyFont="1" applyBorder="1" applyAlignment="1">
      <alignment horizontal="left" vertical="center" wrapText="1"/>
    </xf>
    <xf numFmtId="0" fontId="22" fillId="0" borderId="3" xfId="0" applyFont="1" applyBorder="1" applyAlignment="1">
      <alignment vertical="center" wrapText="1"/>
    </xf>
    <xf numFmtId="0" fontId="22" fillId="0" borderId="5" xfId="0" applyFont="1" applyBorder="1" applyAlignment="1">
      <alignment vertical="center" wrapText="1"/>
    </xf>
    <xf numFmtId="0" fontId="18" fillId="0" borderId="5" xfId="0" applyFont="1" applyFill="1" applyBorder="1" applyAlignment="1">
      <alignment vertical="center"/>
    </xf>
    <xf numFmtId="0" fontId="18" fillId="0" borderId="7" xfId="0" applyFont="1" applyFill="1" applyBorder="1" applyAlignment="1">
      <alignment vertical="center"/>
    </xf>
    <xf numFmtId="0" fontId="4" fillId="0" borderId="3" xfId="0" applyFont="1" applyFill="1" applyBorder="1" applyAlignment="1">
      <alignment vertical="center"/>
    </xf>
    <xf numFmtId="0" fontId="4" fillId="0" borderId="5" xfId="0" applyFont="1" applyFill="1" applyBorder="1" applyAlignment="1">
      <alignment vertical="center"/>
    </xf>
    <xf numFmtId="16" fontId="4" fillId="0" borderId="5" xfId="0" applyNumberFormat="1" applyFont="1" applyBorder="1" applyAlignment="1">
      <alignment horizontal="left" vertical="top" wrapText="1"/>
    </xf>
    <xf numFmtId="0" fontId="4" fillId="0" borderId="5"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5" xfId="0" applyFont="1" applyFill="1" applyBorder="1" applyAlignment="1">
      <alignment vertical="top"/>
    </xf>
    <xf numFmtId="0" fontId="16" fillId="0" borderId="11" xfId="0" applyFont="1" applyFill="1" applyBorder="1" applyAlignment="1">
      <alignment vertical="top" wrapText="1"/>
    </xf>
    <xf numFmtId="0" fontId="4" fillId="0" borderId="11" xfId="0" applyFont="1" applyFill="1" applyBorder="1" applyAlignment="1">
      <alignment vertical="top" wrapText="1"/>
    </xf>
    <xf numFmtId="0" fontId="4" fillId="3" borderId="5" xfId="0" applyNumberFormat="1" applyFont="1" applyFill="1" applyBorder="1" applyAlignment="1">
      <alignment vertical="center"/>
    </xf>
    <xf numFmtId="0" fontId="4" fillId="3" borderId="11" xfId="0" applyNumberFormat="1" applyFont="1" applyFill="1" applyBorder="1" applyAlignment="1">
      <alignment vertical="top" wrapText="1"/>
    </xf>
    <xf numFmtId="0" fontId="4" fillId="3" borderId="3" xfId="0" applyNumberFormat="1" applyFont="1" applyFill="1" applyBorder="1" applyAlignment="1">
      <alignment vertical="center"/>
    </xf>
    <xf numFmtId="0" fontId="4" fillId="3" borderId="7" xfId="0" applyNumberFormat="1" applyFont="1" applyFill="1" applyBorder="1" applyAlignment="1">
      <alignment vertical="center"/>
    </xf>
    <xf numFmtId="0" fontId="4" fillId="3" borderId="5" xfId="0" applyNumberFormat="1" applyFont="1" applyFill="1" applyBorder="1" applyAlignment="1">
      <alignment vertical="top"/>
    </xf>
    <xf numFmtId="0" fontId="4" fillId="3" borderId="3" xfId="1" applyNumberFormat="1" applyFill="1" applyBorder="1" applyAlignment="1">
      <alignment horizontal="left" vertical="top" wrapText="1"/>
    </xf>
    <xf numFmtId="0" fontId="4" fillId="3" borderId="5" xfId="1" applyNumberFormat="1" applyFill="1" applyBorder="1" applyAlignment="1">
      <alignment horizontal="left" vertical="top" wrapText="1"/>
    </xf>
    <xf numFmtId="0" fontId="4" fillId="3" borderId="7" xfId="1" applyNumberFormat="1" applyFill="1" applyBorder="1" applyAlignment="1">
      <alignment horizontal="left" vertical="top" wrapText="1"/>
    </xf>
    <xf numFmtId="0" fontId="3" fillId="4" borderId="7" xfId="1" applyNumberFormat="1" applyFont="1" applyFill="1" applyBorder="1" applyAlignment="1">
      <alignment horizontal="left" vertical="center" wrapText="1"/>
    </xf>
    <xf numFmtId="0" fontId="0" fillId="0" borderId="0" xfId="0" applyNumberFormat="1"/>
    <xf numFmtId="16" fontId="4" fillId="0" borderId="7" xfId="0" applyNumberFormat="1" applyFont="1" applyBorder="1" applyAlignment="1">
      <alignment horizontal="left" vertical="top" wrapText="1"/>
    </xf>
    <xf numFmtId="6" fontId="4" fillId="3" borderId="5" xfId="1" applyNumberFormat="1" applyFill="1" applyBorder="1" applyAlignment="1">
      <alignment horizontal="left" vertical="top" wrapText="1"/>
    </xf>
    <xf numFmtId="0" fontId="4" fillId="3" borderId="5" xfId="1" applyNumberFormat="1" applyFill="1" applyBorder="1" applyAlignment="1">
      <alignment horizontal="left" vertical="center" wrapText="1"/>
    </xf>
    <xf numFmtId="0" fontId="4" fillId="0" borderId="0" xfId="0" applyFont="1" applyAlignment="1">
      <alignment horizontal="left"/>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7" xfId="0" applyFont="1" applyBorder="1" applyAlignment="1">
      <alignment vertical="top" wrapText="1"/>
    </xf>
    <xf numFmtId="0" fontId="4" fillId="0" borderId="7" xfId="0" applyFont="1" applyBorder="1" applyAlignment="1">
      <alignment vertical="center" wrapText="1"/>
    </xf>
    <xf numFmtId="0" fontId="23" fillId="0" borderId="0" xfId="0" applyFont="1" applyAlignment="1">
      <alignment vertical="center"/>
    </xf>
    <xf numFmtId="0" fontId="24" fillId="0" borderId="0" xfId="0" applyFont="1" applyAlignment="1">
      <alignment vertical="center"/>
    </xf>
    <xf numFmtId="0" fontId="4" fillId="0" borderId="0" xfId="0" applyFont="1" applyAlignment="1">
      <alignment horizontal="left"/>
    </xf>
    <xf numFmtId="0" fontId="4" fillId="0" borderId="2"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3" xfId="0" applyFont="1" applyFill="1" applyBorder="1" applyAlignment="1">
      <alignment horizontal="left" vertical="top" wrapText="1"/>
    </xf>
    <xf numFmtId="0" fontId="4" fillId="0" borderId="3" xfId="0" applyFont="1" applyFill="1" applyBorder="1" applyAlignment="1">
      <alignment horizontal="left" vertical="top"/>
    </xf>
    <xf numFmtId="0" fontId="4" fillId="0" borderId="5" xfId="0" applyFont="1" applyBorder="1" applyAlignment="1">
      <alignment vertical="top" wrapText="1"/>
    </xf>
    <xf numFmtId="0" fontId="4" fillId="0" borderId="0" xfId="0" applyFont="1" applyAlignment="1">
      <alignment horizontal="left"/>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5" xfId="0" applyFont="1" applyBorder="1" applyAlignment="1">
      <alignment vertical="top" wrapText="1"/>
    </xf>
    <xf numFmtId="0" fontId="4" fillId="0" borderId="2" xfId="0" applyFont="1" applyFill="1" applyBorder="1" applyAlignment="1">
      <alignment horizontal="left" vertical="top" wrapText="1"/>
    </xf>
    <xf numFmtId="0" fontId="4" fillId="0" borderId="2" xfId="0" applyFont="1" applyFill="1" applyBorder="1" applyAlignment="1">
      <alignment horizontal="left" vertical="top"/>
    </xf>
    <xf numFmtId="167" fontId="4" fillId="3" borderId="3" xfId="0" applyNumberFormat="1" applyFont="1" applyFill="1" applyBorder="1" applyAlignment="1">
      <alignment horizontal="left" vertical="top"/>
    </xf>
    <xf numFmtId="0" fontId="4" fillId="0" borderId="14" xfId="0" applyFont="1" applyBorder="1" applyAlignment="1">
      <alignment vertical="top" wrapText="1"/>
    </xf>
    <xf numFmtId="167" fontId="3" fillId="4" borderId="11" xfId="1" applyNumberFormat="1" applyFont="1" applyFill="1" applyBorder="1" applyAlignment="1">
      <alignment horizontal="left" vertical="center" wrapText="1"/>
    </xf>
    <xf numFmtId="0" fontId="4" fillId="0" borderId="12" xfId="0" applyFont="1" applyFill="1" applyBorder="1" applyAlignment="1">
      <alignment horizontal="left" vertical="top" wrapText="1"/>
    </xf>
    <xf numFmtId="0" fontId="4" fillId="0" borderId="14" xfId="0" applyFont="1" applyBorder="1" applyAlignment="1">
      <alignment horizontal="left" vertical="top" wrapText="1"/>
    </xf>
    <xf numFmtId="0" fontId="4" fillId="0" borderId="0" xfId="0" applyFont="1" applyAlignment="1">
      <alignment horizontal="left"/>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4" fillId="0" borderId="3" xfId="0" applyFont="1" applyBorder="1" applyAlignment="1">
      <alignment vertical="top" wrapText="1"/>
    </xf>
    <xf numFmtId="0" fontId="4" fillId="0" borderId="3" xfId="0" applyFont="1" applyFill="1" applyBorder="1" applyAlignment="1">
      <alignment horizontal="left" vertical="top"/>
    </xf>
    <xf numFmtId="0" fontId="4" fillId="0" borderId="5" xfId="0" applyFont="1" applyBorder="1" applyAlignment="1">
      <alignment vertical="top" wrapText="1"/>
    </xf>
    <xf numFmtId="0" fontId="4" fillId="0" borderId="0" xfId="0" applyFont="1" applyAlignment="1">
      <alignment horizontal="left"/>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44" fontId="4" fillId="3" borderId="7" xfId="0" applyNumberFormat="1" applyFont="1" applyFill="1" applyBorder="1" applyAlignment="1">
      <alignment horizontal="left" vertical="top" wrapText="1"/>
    </xf>
    <xf numFmtId="0" fontId="4" fillId="0" borderId="3" xfId="0" applyFont="1" applyBorder="1" applyAlignment="1">
      <alignment horizontal="left" vertical="top"/>
    </xf>
    <xf numFmtId="0" fontId="4" fillId="0" borderId="7" xfId="0" applyFont="1" applyBorder="1" applyAlignment="1">
      <alignment horizontal="left" vertical="top"/>
    </xf>
    <xf numFmtId="167" fontId="4" fillId="3" borderId="3" xfId="0" applyNumberFormat="1" applyFont="1" applyFill="1" applyBorder="1" applyAlignment="1">
      <alignment horizontal="left" vertical="top" wrapText="1"/>
    </xf>
    <xf numFmtId="14" fontId="4" fillId="0" borderId="2" xfId="0" applyNumberFormat="1" applyFont="1" applyBorder="1" applyAlignment="1">
      <alignment vertical="top" wrapText="1"/>
    </xf>
    <xf numFmtId="14" fontId="4" fillId="0" borderId="9" xfId="0" applyNumberFormat="1" applyFont="1" applyBorder="1" applyAlignment="1">
      <alignment vertical="top" wrapText="1"/>
    </xf>
    <xf numFmtId="14" fontId="4" fillId="0" borderId="6" xfId="0" applyNumberFormat="1" applyFont="1" applyBorder="1" applyAlignment="1">
      <alignment vertical="top" wrapText="1"/>
    </xf>
    <xf numFmtId="166" fontId="3" fillId="0" borderId="0" xfId="0" applyNumberFormat="1" applyFont="1" applyFill="1" applyBorder="1" applyAlignment="1">
      <alignment horizontal="right" vertical="center"/>
    </xf>
    <xf numFmtId="14" fontId="4" fillId="0" borderId="2" xfId="0" applyNumberFormat="1" applyFont="1" applyBorder="1" applyAlignment="1">
      <alignment horizontal="left" vertical="top" wrapText="1"/>
    </xf>
    <xf numFmtId="14" fontId="4" fillId="0" borderId="9" xfId="0" applyNumberFormat="1" applyFont="1" applyBorder="1" applyAlignment="1">
      <alignment horizontal="left" vertical="top" wrapText="1"/>
    </xf>
    <xf numFmtId="14" fontId="4" fillId="0" borderId="6" xfId="0" applyNumberFormat="1" applyFont="1" applyBorder="1" applyAlignment="1">
      <alignment horizontal="left" vertical="top" wrapText="1"/>
    </xf>
    <xf numFmtId="0" fontId="4" fillId="0" borderId="6" xfId="0" applyFont="1" applyBorder="1" applyAlignment="1">
      <alignment vertical="top" wrapText="1"/>
    </xf>
    <xf numFmtId="167" fontId="4" fillId="3" borderId="5" xfId="1" applyNumberFormat="1" applyFill="1" applyBorder="1" applyAlignment="1">
      <alignment vertical="center" wrapText="1"/>
    </xf>
    <xf numFmtId="167" fontId="4" fillId="3" borderId="5" xfId="1" applyNumberFormat="1" applyFill="1" applyBorder="1" applyAlignment="1">
      <alignment horizontal="left" vertical="center" wrapText="1"/>
    </xf>
    <xf numFmtId="167" fontId="4" fillId="3" borderId="7" xfId="1" applyNumberFormat="1" applyFill="1" applyBorder="1" applyAlignment="1">
      <alignment vertical="center" wrapText="1"/>
    </xf>
    <xf numFmtId="44" fontId="4" fillId="3" borderId="4" xfId="0" applyNumberFormat="1" applyFont="1" applyFill="1" applyBorder="1" applyAlignment="1">
      <alignment horizontal="left" vertical="top" wrapText="1"/>
    </xf>
    <xf numFmtId="44" fontId="4" fillId="3" borderId="10" xfId="0" applyNumberFormat="1" applyFont="1" applyFill="1" applyBorder="1" applyAlignment="1">
      <alignment horizontal="left" vertical="top" wrapText="1"/>
    </xf>
    <xf numFmtId="44" fontId="4" fillId="3" borderId="8" xfId="0" applyNumberFormat="1" applyFont="1" applyFill="1" applyBorder="1" applyAlignment="1">
      <alignment horizontal="left" vertical="top" wrapText="1"/>
    </xf>
    <xf numFmtId="167" fontId="4" fillId="3" borderId="4" xfId="0" applyNumberFormat="1" applyFont="1" applyFill="1" applyBorder="1" applyAlignment="1">
      <alignment horizontal="left" vertical="top" wrapText="1"/>
    </xf>
    <xf numFmtId="167" fontId="4" fillId="3" borderId="10" xfId="0" applyNumberFormat="1" applyFont="1" applyFill="1" applyBorder="1" applyAlignment="1">
      <alignment horizontal="left" vertical="top" wrapText="1"/>
    </xf>
    <xf numFmtId="167" fontId="4" fillId="3" borderId="8" xfId="0" applyNumberFormat="1" applyFont="1" applyFill="1" applyBorder="1" applyAlignment="1">
      <alignment horizontal="left" vertical="top" wrapText="1"/>
    </xf>
    <xf numFmtId="167" fontId="4" fillId="3" borderId="7" xfId="0" applyNumberFormat="1" applyFont="1" applyFill="1" applyBorder="1" applyAlignment="1">
      <alignment horizontal="left" vertical="top" wrapText="1"/>
    </xf>
    <xf numFmtId="0" fontId="4" fillId="0" borderId="12" xfId="0" applyFont="1" applyBorder="1" applyAlignment="1">
      <alignment horizontal="left" vertical="top"/>
    </xf>
    <xf numFmtId="167" fontId="4" fillId="3" borderId="7" xfId="0" applyNumberFormat="1" applyFont="1" applyFill="1" applyBorder="1" applyAlignment="1">
      <alignment horizontal="left" vertical="top"/>
    </xf>
    <xf numFmtId="0" fontId="4" fillId="0" borderId="11" xfId="0" applyFont="1" applyBorder="1" applyAlignment="1">
      <alignment horizontal="left" vertical="top"/>
    </xf>
    <xf numFmtId="167" fontId="4" fillId="3" borderId="11" xfId="0" applyNumberFormat="1" applyFont="1" applyFill="1" applyBorder="1" applyAlignment="1">
      <alignment horizontal="left" vertical="top" wrapText="1"/>
    </xf>
    <xf numFmtId="167" fontId="4" fillId="3" borderId="5" xfId="0" applyNumberFormat="1" applyFont="1" applyFill="1" applyBorder="1" applyAlignment="1">
      <alignment horizontal="left" vertical="top" wrapText="1"/>
    </xf>
    <xf numFmtId="0" fontId="4" fillId="0" borderId="0" xfId="0" applyFont="1" applyAlignment="1">
      <alignment horizontal="left"/>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167" fontId="4" fillId="3" borderId="3" xfId="1" applyNumberFormat="1" applyFont="1" applyFill="1" applyBorder="1" applyAlignment="1">
      <alignment horizontal="left" vertical="top" wrapText="1"/>
    </xf>
    <xf numFmtId="167" fontId="4" fillId="3" borderId="5" xfId="1" applyNumberFormat="1" applyFont="1" applyFill="1" applyBorder="1" applyAlignment="1">
      <alignment horizontal="left" vertical="top" wrapText="1"/>
    </xf>
    <xf numFmtId="0" fontId="21" fillId="0" borderId="0" xfId="0" applyFont="1" applyAlignment="1">
      <alignment horizontal="left" vertical="center"/>
    </xf>
    <xf numFmtId="0" fontId="4" fillId="0" borderId="2" xfId="0" applyFont="1" applyBorder="1" applyAlignment="1">
      <alignment horizontal="center" vertical="top" wrapText="1"/>
    </xf>
    <xf numFmtId="0" fontId="4" fillId="0" borderId="6" xfId="0" applyFont="1" applyBorder="1" applyAlignment="1">
      <alignment horizontal="center" vertical="top" wrapText="1"/>
    </xf>
    <xf numFmtId="0" fontId="4" fillId="0" borderId="3" xfId="0" applyFont="1" applyBorder="1" applyAlignment="1">
      <alignment vertical="top" wrapText="1"/>
    </xf>
    <xf numFmtId="0" fontId="4" fillId="0" borderId="7" xfId="0" applyFont="1" applyBorder="1" applyAlignment="1">
      <alignment vertical="top" wrapText="1"/>
    </xf>
    <xf numFmtId="44" fontId="4" fillId="3" borderId="3" xfId="0" applyNumberFormat="1" applyFont="1" applyFill="1" applyBorder="1" applyAlignment="1">
      <alignment horizontal="left" vertical="top" wrapText="1"/>
    </xf>
    <xf numFmtId="44" fontId="4" fillId="3" borderId="7" xfId="0" applyNumberFormat="1"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7" xfId="0" applyFont="1" applyFill="1" applyBorder="1" applyAlignment="1">
      <alignment horizontal="left" vertical="top" wrapText="1"/>
    </xf>
    <xf numFmtId="0" fontId="4" fillId="0" borderId="3" xfId="0" applyFont="1" applyFill="1" applyBorder="1" applyAlignment="1">
      <alignment horizontal="left" vertical="top"/>
    </xf>
    <xf numFmtId="0" fontId="4" fillId="0" borderId="7" xfId="0" applyFont="1" applyFill="1" applyBorder="1" applyAlignment="1">
      <alignment horizontal="left" vertical="top"/>
    </xf>
    <xf numFmtId="44" fontId="4" fillId="3" borderId="3" xfId="0" applyNumberFormat="1" applyFont="1" applyFill="1" applyBorder="1" applyAlignment="1">
      <alignment horizontal="left" vertical="top"/>
    </xf>
    <xf numFmtId="44" fontId="4" fillId="3" borderId="7" xfId="0" applyNumberFormat="1" applyFont="1" applyFill="1" applyBorder="1" applyAlignment="1">
      <alignment horizontal="left" vertical="top"/>
    </xf>
    <xf numFmtId="0" fontId="4" fillId="0" borderId="9" xfId="0" applyFont="1" applyBorder="1" applyAlignment="1">
      <alignment horizontal="left" vertical="top"/>
    </xf>
    <xf numFmtId="0" fontId="4" fillId="0" borderId="6" xfId="0" applyFont="1" applyBorder="1" applyAlignment="1">
      <alignment horizontal="left" vertical="top"/>
    </xf>
    <xf numFmtId="0" fontId="4" fillId="0" borderId="3" xfId="0" applyFont="1" applyBorder="1" applyAlignment="1">
      <alignment horizontal="left" vertical="top"/>
    </xf>
    <xf numFmtId="0" fontId="4" fillId="0" borderId="5" xfId="0" applyFont="1" applyBorder="1" applyAlignment="1">
      <alignment horizontal="left" vertical="top"/>
    </xf>
    <xf numFmtId="0" fontId="4" fillId="0" borderId="7" xfId="0" applyFont="1" applyBorder="1" applyAlignment="1">
      <alignment horizontal="left" vertical="top"/>
    </xf>
    <xf numFmtId="0" fontId="17" fillId="0" borderId="1" xfId="0" applyFont="1" applyBorder="1" applyAlignment="1">
      <alignment horizontal="left" vertical="top" wrapText="1"/>
    </xf>
    <xf numFmtId="0" fontId="0" fillId="0" borderId="1" xfId="0" applyBorder="1" applyAlignment="1">
      <alignment horizontal="left"/>
    </xf>
    <xf numFmtId="0" fontId="4" fillId="0" borderId="5" xfId="0" applyFont="1" applyBorder="1" applyAlignment="1">
      <alignment vertical="top" wrapText="1"/>
    </xf>
    <xf numFmtId="0" fontId="4" fillId="0" borderId="5" xfId="0" applyFont="1" applyFill="1" applyBorder="1" applyAlignment="1">
      <alignment horizontal="left" vertical="top" wrapText="1"/>
    </xf>
    <xf numFmtId="44" fontId="4" fillId="0" borderId="3" xfId="0" applyNumberFormat="1" applyFont="1" applyFill="1" applyBorder="1" applyAlignment="1">
      <alignment horizontal="left" vertical="top" wrapText="1"/>
    </xf>
    <xf numFmtId="44" fontId="18" fillId="0" borderId="5" xfId="0" applyNumberFormat="1" applyFont="1" applyFill="1" applyBorder="1" applyAlignment="1">
      <alignment horizontal="left" vertical="top"/>
    </xf>
    <xf numFmtId="44" fontId="18" fillId="0" borderId="7" xfId="0" applyNumberFormat="1" applyFont="1" applyFill="1" applyBorder="1" applyAlignment="1">
      <alignment horizontal="left" vertical="top"/>
    </xf>
    <xf numFmtId="0" fontId="4" fillId="0" borderId="3" xfId="0" applyFont="1" applyBorder="1" applyAlignment="1">
      <alignment horizontal="center" vertical="top" wrapText="1"/>
    </xf>
    <xf numFmtId="0" fontId="4" fillId="0" borderId="5" xfId="0" applyFont="1" applyBorder="1" applyAlignment="1">
      <alignment horizontal="center" vertical="top" wrapText="1"/>
    </xf>
    <xf numFmtId="0" fontId="4" fillId="0" borderId="7" xfId="0" applyFont="1" applyBorder="1" applyAlignment="1">
      <alignment horizontal="center" vertical="top" wrapText="1"/>
    </xf>
    <xf numFmtId="44" fontId="4" fillId="3" borderId="5" xfId="0" applyNumberFormat="1" applyFont="1" applyFill="1" applyBorder="1" applyAlignment="1">
      <alignment horizontal="left" vertical="top" wrapText="1"/>
    </xf>
    <xf numFmtId="167" fontId="4" fillId="3" borderId="5" xfId="0" applyNumberFormat="1" applyFont="1" applyFill="1" applyBorder="1" applyAlignment="1">
      <alignment horizontal="left" vertical="top" wrapText="1"/>
    </xf>
    <xf numFmtId="167" fontId="4" fillId="3" borderId="7" xfId="0" applyNumberFormat="1" applyFont="1" applyFill="1" applyBorder="1" applyAlignment="1">
      <alignment horizontal="left" vertical="top" wrapText="1"/>
    </xf>
    <xf numFmtId="0" fontId="4" fillId="0" borderId="2" xfId="0" applyFont="1" applyBorder="1" applyAlignment="1">
      <alignment horizontal="left" vertical="top"/>
    </xf>
  </cellXfs>
  <cellStyles count="3">
    <cellStyle name="Hyperlink 2" xfId="2" xr:uid="{347B36CA-9117-49D0-A928-68AA6D565843}"/>
    <cellStyle name="Standaard" xfId="0" builtinId="0"/>
    <cellStyle name="Valuta" xfId="1" builtinId="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F2A2A88-68A1-4C4D-9F9C-98744EFD26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C30491A-CFD9-4AB0-A055-BB2482847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DA49101-B74A-4CFD-9558-B7A17C4C9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A5438DE-F19B-4C88-A0BE-545CE4C20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F21EA69-1F9C-42E9-AB3A-9F259FFCF2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334D680-75DF-4ACD-8F73-BCB8E96DE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E077A05-9AAE-4B6A-BA9D-886084EAD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C3A70E0-2EB1-4739-85F4-558BD60D7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AAEC11C-1747-411E-87FD-5AA8F98FA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8BDAFD6-3BB6-4E9A-9DD3-44F01E574E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B0BE232-2CB6-452D-A82F-60741B10B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BE22A18-FEFC-4DA7-94AB-FCA2F5C6E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FC729A5-DF26-40FA-9A97-7940DCAE5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9168038-9766-438F-8389-279A0F1DF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86549A2-B8A1-4A17-BBB8-42626049B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4C5A67B-D383-4648-BCD1-AE9A51DB83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C44990D-F9C9-45A6-AC9C-27C0657FE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980AF70-8487-46FA-BB2F-27A6592951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7BA4BC-30B9-4A00-B116-52EB77A2E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6411121-8F1A-4F8F-8F1E-A13205B82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2558D86-3D16-4CAC-BC2F-8791C80F2E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44EAFE7-E549-4F18-8F97-52F20070A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D5868B1-7EA7-46CD-8F18-902BF70C88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71D0A9B-1315-4862-B96E-4B9E4CC50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B363DC2-42D5-489A-B024-EA6692847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6A8835B-AD89-44B4-A94C-E7A2685D1E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061825F-07D8-4750-8906-A78B8B9D40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3238" y="409575"/>
          <a:ext cx="1644964" cy="7588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2B5F3CF-7564-40B3-9088-2E5D523FB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9CE9178-5C56-40A4-87FB-59D141F01F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FEB2B82-FDD9-4891-91F0-9651CE949D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21BF94-F0FB-4910-907D-D5CB7F19A8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DED5696-7B52-40F5-ADAB-61F3196C9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0F8E08E-F97D-4517-A751-E25EE83E9C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1B5D38F-2F36-4475-B070-F3AA3FB4B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E8F8C87-B4ED-426E-AA24-E7841AF73D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D079DD6-039D-4009-8DCC-BC65810D1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F18892-DE0F-4FB6-98AF-5A403228E5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3F02070-95A5-4B1D-8096-DB54C1EEB7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B70CA63-F978-431A-87EE-0B2357AA24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943F60F-9241-4476-818C-5A9E926BF7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809D453-44FD-4DE2-9056-3EADA65896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3888" y="409575"/>
          <a:ext cx="1644964" cy="7588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887A7BE-F3C0-4630-ACDE-79450EA74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68B19B2-B5E3-4D3D-80EF-200E9425B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1F949C8-6918-47F0-AF8A-69197B90C5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1155F4B-CD79-46B2-89CE-4F8F490CA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29CBE5E-49F7-4A38-94DA-1CCFB4133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4CDBA5E-22A7-4ACE-9C5B-1C8670CC0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FF37CC3-40E2-4329-BA17-9AD65657E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91DA95C-7AFD-4830-9E0D-CB015D035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4438" y="409575"/>
          <a:ext cx="1644964" cy="75882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824A9EF-8D66-4481-9FCF-49AD16BF5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53B364E-B7A6-49B9-A01A-2EC269CF7A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088" y="409575"/>
          <a:ext cx="1644964" cy="7588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DE48777-21D3-4BB0-9A4D-97EA08E80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4438" y="409575"/>
          <a:ext cx="1644964" cy="7588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E71DB0-22A8-4BB9-89A2-B62EA528B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4438" y="409575"/>
          <a:ext cx="1644964" cy="7588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9E32AC8-43F4-4770-877E-A1BA0156F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3888" y="409575"/>
          <a:ext cx="1644964" cy="7588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C59DA0A-249E-4317-8055-77D4AB8707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798DC8C-DC87-4E56-814F-30BC9726D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F9BE5DD-80C4-4091-B3BE-ACFA462A4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411FF73-D92F-45B5-8041-C0FB153D3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E5A21B5-6CC4-4881-AC9F-FDD8B65C1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C6B605C-9DCA-4659-96AC-CDDD8B28E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2788" y="409575"/>
          <a:ext cx="1644964" cy="75882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79C2D34-EB68-44DD-9D39-B02D0D0BD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36DB7B3-BC35-40F7-ABC4-8770BD654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41998B2-CCB9-45C5-BBAF-83AA132C8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A9819CA-933C-4058-BFAB-62DDAF0B92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21358B9-20D3-4BFB-82B6-1AEAB34EA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408C9C1-2CC8-4140-9BC4-F401CFADB6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C86639C-E902-4AA1-92AF-71C79FF85E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54AA83D-ED9A-43FB-A08C-0EEF1E1D0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F2E6F04-F8EC-4E8B-83DF-D948AB19F3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7338" y="409575"/>
          <a:ext cx="1644964" cy="75882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10901DD-CAE3-4BF0-98C7-B2635C5E0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196B3FF-485B-40A7-A468-487AE4E5E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410DB87-0E4F-4363-913E-3FB890C48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1B28ED-4C39-4EE0-A657-799723660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AB9AEB5-C305-49B8-ACD4-1A45B4B19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CAF6364-9095-4406-9D79-51094CCB0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D82F916-B55F-4592-B5F6-95506507C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A5D9BC9-D22A-40E5-B8BF-9DBFD4450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E4179A4-76EA-41F3-8F16-FBA0813BE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0960574-86C9-4BA0-B671-E2B9B2442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AD49E04-A66F-48B1-B142-241830AD9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4705D23-7AA1-4B63-871A-9A33D8316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F4CD1A7-57D4-4A01-9620-2973EC030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jorieke@2xdenken.nl"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jorieke@2xdenken.nl"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jorieke@2xdenken.nl"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jorieke@2xdenken.nl"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jorieke@2xdenken.nl"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jorieke@2xdenken.nl"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jorieke@2xdenken.nl"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jorieke@2xdenken.nl"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jorieke@2xdenken.nl"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jorieke@2xdenken.nl"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jorieke@2xdenken.nl"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jorieke@2xdenken.nl"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jorieke@2xdenken.nl" TargetMode="Externa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jorieke@2xdenken.nl"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jorieke@2xdenken.nl"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jorieke@2xdenken.nl" TargetMode="External"/></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8FEB-A3CE-4459-B421-F12D8A6B1B4C}">
  <sheetPr>
    <tabColor rgb="FF92D050"/>
    <pageSetUpPr fitToPage="1"/>
  </sheetPr>
  <dimension ref="B1:M37"/>
  <sheetViews>
    <sheetView showGridLines="0" topLeftCell="A12" zoomScaleNormal="100" workbookViewId="0">
      <selection activeCell="B27" sqref="B2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 t="s">
        <v>26</v>
      </c>
      <c r="C8" s="20"/>
      <c r="F8" s="21"/>
      <c r="H8" s="13"/>
    </row>
    <row r="9" spans="2:8" ht="13.5" customHeight="1" x14ac:dyDescent="0.3">
      <c r="B9" s="49" t="s">
        <v>27</v>
      </c>
      <c r="C9" s="20"/>
      <c r="E9" s="22"/>
      <c r="F9" s="37"/>
    </row>
    <row r="10" spans="2:8" ht="13.5" customHeight="1" x14ac:dyDescent="0.3">
      <c r="B10" s="49" t="s">
        <v>28</v>
      </c>
      <c r="C10" s="20"/>
      <c r="E10" s="22"/>
      <c r="F10" s="37"/>
    </row>
    <row r="11" spans="2:8" ht="13.5" customHeight="1" x14ac:dyDescent="0.3">
      <c r="B11" s="49" t="s">
        <v>29</v>
      </c>
      <c r="C11" s="20"/>
    </row>
    <row r="12" spans="2:8" ht="13.5" customHeight="1" x14ac:dyDescent="0.3">
      <c r="C12" s="20"/>
    </row>
    <row r="13" spans="2:8" ht="13.5" customHeight="1" x14ac:dyDescent="0.25"/>
    <row r="14" spans="2:8" x14ac:dyDescent="0.25">
      <c r="E14" s="216" t="s">
        <v>25</v>
      </c>
      <c r="F14" s="216"/>
    </row>
    <row r="15" spans="2:8" ht="14" x14ac:dyDescent="0.3">
      <c r="B15" s="20"/>
      <c r="C15" s="33"/>
      <c r="E15" s="44" t="s">
        <v>31</v>
      </c>
      <c r="F15" s="23"/>
    </row>
    <row r="16" spans="2:8" x14ac:dyDescent="0.25">
      <c r="B16" s="4"/>
      <c r="C16" s="4"/>
      <c r="E16" s="44" t="s">
        <v>30</v>
      </c>
      <c r="F16" s="44"/>
    </row>
    <row r="17" spans="2:13" x14ac:dyDescent="0.25">
      <c r="B17" s="4"/>
      <c r="C17" s="4"/>
      <c r="E17" s="44"/>
      <c r="F17" s="44"/>
    </row>
    <row r="18" spans="2:13" ht="17.25" customHeight="1" x14ac:dyDescent="0.25">
      <c r="B18" s="217" t="s">
        <v>43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3.5" customHeight="1" x14ac:dyDescent="0.25">
      <c r="B20" s="220" t="s">
        <v>44</v>
      </c>
      <c r="C20" s="223" t="s">
        <v>42</v>
      </c>
      <c r="D20" s="50" t="s">
        <v>47</v>
      </c>
      <c r="E20" s="39" t="s">
        <v>32</v>
      </c>
      <c r="F20" s="51" t="s">
        <v>33</v>
      </c>
      <c r="M20" s="4"/>
    </row>
    <row r="21" spans="2:13" s="26" customFormat="1" ht="14" customHeight="1" x14ac:dyDescent="0.25">
      <c r="B21" s="221"/>
      <c r="C21" s="224"/>
      <c r="D21" s="54" t="s">
        <v>50</v>
      </c>
      <c r="E21" s="55" t="s">
        <v>34</v>
      </c>
      <c r="F21" s="56" t="s">
        <v>35</v>
      </c>
      <c r="M21" s="4"/>
    </row>
    <row r="22" spans="2:13" s="26" customFormat="1" ht="14" customHeight="1" x14ac:dyDescent="0.25">
      <c r="B22" s="221"/>
      <c r="C22" s="224"/>
      <c r="D22" s="54" t="s">
        <v>48</v>
      </c>
      <c r="E22" s="55" t="s">
        <v>34</v>
      </c>
      <c r="F22" s="56" t="s">
        <v>35</v>
      </c>
      <c r="M22" s="4"/>
    </row>
    <row r="23" spans="2:13" s="26" customFormat="1" ht="13.5" customHeight="1" x14ac:dyDescent="0.25">
      <c r="B23" s="221"/>
      <c r="C23" s="224"/>
      <c r="D23" s="61" t="s">
        <v>49</v>
      </c>
      <c r="E23" s="57" t="s">
        <v>34</v>
      </c>
      <c r="F23" s="56" t="s">
        <v>35</v>
      </c>
      <c r="M23" s="4"/>
    </row>
    <row r="24" spans="2:13" s="26" customFormat="1" ht="14" customHeight="1" x14ac:dyDescent="0.25">
      <c r="B24" s="222"/>
      <c r="C24" s="225"/>
      <c r="D24" s="57" t="s">
        <v>36</v>
      </c>
      <c r="E24" s="57" t="s">
        <v>52</v>
      </c>
      <c r="F24" s="56" t="s">
        <v>53</v>
      </c>
      <c r="M24" s="4"/>
    </row>
    <row r="25" spans="2:13" s="26" customFormat="1" ht="14" customHeight="1" x14ac:dyDescent="0.25">
      <c r="B25" s="40" t="s">
        <v>45</v>
      </c>
      <c r="C25" s="43" t="s">
        <v>39</v>
      </c>
      <c r="D25" s="62" t="s">
        <v>51</v>
      </c>
      <c r="E25" s="62" t="s">
        <v>34</v>
      </c>
      <c r="F25" s="63" t="s">
        <v>35</v>
      </c>
      <c r="M25" s="4"/>
    </row>
    <row r="26" spans="2:13" ht="41.5" customHeight="1" x14ac:dyDescent="0.25">
      <c r="B26" s="59" t="s">
        <v>46</v>
      </c>
      <c r="C26" s="59" t="s">
        <v>41</v>
      </c>
      <c r="D26" s="58"/>
      <c r="E26" s="60" t="s">
        <v>37</v>
      </c>
      <c r="F26" s="31" t="s">
        <v>38</v>
      </c>
    </row>
    <row r="27" spans="2:13" ht="13.5" customHeight="1" x14ac:dyDescent="0.25">
      <c r="B27" s="26"/>
      <c r="C27" s="26"/>
      <c r="D27" s="26"/>
      <c r="E27" s="64" t="s">
        <v>18</v>
      </c>
      <c r="F27" s="65" t="s">
        <v>54</v>
      </c>
    </row>
    <row r="28" spans="2:13" ht="12.75" customHeight="1" x14ac:dyDescent="0.25">
      <c r="B28" s="219" t="s">
        <v>19</v>
      </c>
      <c r="C28" s="219"/>
      <c r="D28" s="219"/>
      <c r="E28" s="219"/>
      <c r="F28" s="26"/>
    </row>
    <row r="29" spans="2:13" x14ac:dyDescent="0.25">
      <c r="B29" s="219"/>
      <c r="C29" s="219"/>
      <c r="D29" s="219"/>
      <c r="E29" s="219"/>
      <c r="F29" s="26"/>
    </row>
    <row r="30" spans="2:13" s="8" customFormat="1" x14ac:dyDescent="0.25">
      <c r="B30"/>
      <c r="C30"/>
      <c r="D30"/>
      <c r="E30"/>
      <c r="F30"/>
    </row>
    <row r="32" spans="2:13" x14ac:dyDescent="0.25">
      <c r="B32" s="8" t="s">
        <v>20</v>
      </c>
      <c r="C32" s="8"/>
    </row>
    <row r="33" spans="2:6" x14ac:dyDescent="0.25">
      <c r="B33" s="8" t="s">
        <v>21</v>
      </c>
      <c r="C33" s="8"/>
    </row>
    <row r="34" spans="2:6" x14ac:dyDescent="0.25">
      <c r="B34" s="8"/>
      <c r="C34" s="8"/>
    </row>
    <row r="35" spans="2:6" x14ac:dyDescent="0.25">
      <c r="B35" s="4"/>
      <c r="C35" s="4"/>
    </row>
    <row r="37" spans="2:6" x14ac:dyDescent="0.25">
      <c r="B37" s="8" t="s">
        <v>22</v>
      </c>
      <c r="C37" s="8"/>
      <c r="D37" s="8" t="s">
        <v>23</v>
      </c>
      <c r="E37" s="8"/>
      <c r="F37" s="8"/>
    </row>
  </sheetData>
  <mergeCells count="5">
    <mergeCell ref="E14:F14"/>
    <mergeCell ref="B18:F18"/>
    <mergeCell ref="B28:E29"/>
    <mergeCell ref="B20:B24"/>
    <mergeCell ref="C20:C24"/>
  </mergeCells>
  <hyperlinks>
    <hyperlink ref="F6" r:id="rId1" xr:uid="{BDB7C9BF-AADF-4762-A28A-F305040AA496}"/>
  </hyperlinks>
  <pageMargins left="0.88" right="0.57999999999999996" top="0.5" bottom="0.5" header="0.5" footer="0.5"/>
  <pageSetup paperSize="9" scale="81"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B0D9-02B2-425F-AEF2-EA610F29627F}">
  <sheetPr>
    <tabColor rgb="FF92D050"/>
    <pageSetUpPr fitToPage="1"/>
  </sheetPr>
  <dimension ref="B1:M34"/>
  <sheetViews>
    <sheetView showGridLines="0" topLeftCell="A5" zoomScaleNormal="100" workbookViewId="0">
      <selection activeCell="B13" sqref="B1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58</v>
      </c>
      <c r="C8" s="20"/>
      <c r="F8" s="21"/>
      <c r="H8" s="13"/>
    </row>
    <row r="9" spans="2:8" ht="13.5" customHeight="1" x14ac:dyDescent="0.3">
      <c r="B9" s="49" t="s">
        <v>59</v>
      </c>
      <c r="C9" s="20"/>
      <c r="E9" s="22"/>
      <c r="F9" s="37"/>
    </row>
    <row r="10" spans="2:8" ht="13.5" customHeight="1" x14ac:dyDescent="0.3">
      <c r="B10" s="4" t="s">
        <v>60</v>
      </c>
      <c r="C10" s="20"/>
      <c r="E10" s="22"/>
      <c r="F10" s="37"/>
    </row>
    <row r="11" spans="2:8" ht="13.5" customHeight="1" x14ac:dyDescent="0.3">
      <c r="B11" s="4" t="s">
        <v>61</v>
      </c>
      <c r="C11" s="20"/>
    </row>
    <row r="12" spans="2:8" ht="13.5" customHeight="1" x14ac:dyDescent="0.3">
      <c r="C12" s="20"/>
    </row>
    <row r="13" spans="2:8" ht="13.5" customHeight="1" x14ac:dyDescent="0.25"/>
    <row r="14" spans="2:8" x14ac:dyDescent="0.25">
      <c r="E14" s="44" t="s">
        <v>62</v>
      </c>
      <c r="F14" s="44">
        <v>202102</v>
      </c>
    </row>
    <row r="15" spans="2:8" ht="14" x14ac:dyDescent="0.3">
      <c r="B15" s="20"/>
      <c r="C15" s="33"/>
      <c r="E15" s="44" t="s">
        <v>31</v>
      </c>
      <c r="F15" s="23"/>
    </row>
    <row r="16" spans="2:8" x14ac:dyDescent="0.25">
      <c r="B16" s="4"/>
      <c r="C16" s="4"/>
      <c r="E16" s="44" t="s">
        <v>63</v>
      </c>
      <c r="F16" s="44"/>
    </row>
    <row r="17" spans="2:13" x14ac:dyDescent="0.25">
      <c r="B17" s="4"/>
      <c r="C17" s="4"/>
      <c r="E17" s="44"/>
      <c r="F17" s="44"/>
    </row>
    <row r="18" spans="2:13" ht="17.25" customHeight="1" x14ac:dyDescent="0.25">
      <c r="B18" s="217" t="s">
        <v>121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220" t="s">
        <v>65</v>
      </c>
      <c r="C20" s="223" t="s">
        <v>64</v>
      </c>
      <c r="D20" s="50" t="s">
        <v>66</v>
      </c>
      <c r="E20" s="68" t="s">
        <v>32</v>
      </c>
      <c r="F20" s="67" t="s">
        <v>33</v>
      </c>
      <c r="M20" s="4"/>
    </row>
    <row r="21" spans="2:13" s="26" customFormat="1" ht="16.5" customHeight="1" x14ac:dyDescent="0.25">
      <c r="B21" s="221"/>
      <c r="C21" s="224"/>
      <c r="D21" s="54" t="s">
        <v>67</v>
      </c>
      <c r="E21" s="69" t="s">
        <v>34</v>
      </c>
      <c r="F21" s="32" t="s">
        <v>35</v>
      </c>
      <c r="M21" s="4"/>
    </row>
    <row r="22" spans="2:13" s="26" customFormat="1" ht="14" customHeight="1" x14ac:dyDescent="0.25">
      <c r="B22" s="222"/>
      <c r="C22" s="225"/>
      <c r="D22" s="35" t="s">
        <v>68</v>
      </c>
      <c r="E22" s="70" t="s">
        <v>34</v>
      </c>
      <c r="F22" s="31" t="s">
        <v>35</v>
      </c>
      <c r="M22" s="4"/>
    </row>
    <row r="23" spans="2:13" s="26" customFormat="1" ht="14" customHeight="1" x14ac:dyDescent="0.25">
      <c r="E23" s="64" t="s">
        <v>18</v>
      </c>
      <c r="F23" s="65">
        <v>360</v>
      </c>
      <c r="M23" s="4"/>
    </row>
    <row r="24" spans="2:13" ht="13.5" customHeight="1" x14ac:dyDescent="0.25">
      <c r="B24" s="26"/>
      <c r="C24" s="26"/>
      <c r="D24" s="26"/>
      <c r="E24" s="26"/>
      <c r="F24" s="27"/>
    </row>
    <row r="25" spans="2:13" ht="12.75" customHeight="1" x14ac:dyDescent="0.25">
      <c r="B25" s="219" t="s">
        <v>19</v>
      </c>
      <c r="C25" s="219"/>
      <c r="D25" s="219"/>
      <c r="E25" s="219"/>
      <c r="F25" s="26"/>
    </row>
    <row r="26" spans="2:13" x14ac:dyDescent="0.25">
      <c r="B26" s="219"/>
      <c r="C26" s="219"/>
      <c r="D26" s="219"/>
      <c r="E26" s="219"/>
      <c r="F26" s="26"/>
    </row>
    <row r="27" spans="2:13" s="8" customFormat="1" x14ac:dyDescent="0.25">
      <c r="B27"/>
      <c r="C27"/>
      <c r="D27"/>
      <c r="E27"/>
      <c r="F27"/>
    </row>
    <row r="29" spans="2:13" x14ac:dyDescent="0.25">
      <c r="B29" s="8" t="s">
        <v>20</v>
      </c>
      <c r="C29" s="8"/>
    </row>
    <row r="30" spans="2:13" x14ac:dyDescent="0.25">
      <c r="B30" s="8" t="s">
        <v>21</v>
      </c>
      <c r="C30" s="8"/>
    </row>
    <row r="31" spans="2:13" x14ac:dyDescent="0.25">
      <c r="B31" s="8"/>
      <c r="C31" s="8"/>
    </row>
    <row r="32" spans="2:13" x14ac:dyDescent="0.25">
      <c r="B32" s="4"/>
      <c r="C32" s="4"/>
    </row>
    <row r="34" spans="2:6" x14ac:dyDescent="0.25">
      <c r="B34" s="8" t="s">
        <v>22</v>
      </c>
      <c r="C34" s="8"/>
      <c r="D34" s="8" t="s">
        <v>23</v>
      </c>
      <c r="E34" s="8"/>
      <c r="F34" s="8"/>
    </row>
  </sheetData>
  <mergeCells count="4">
    <mergeCell ref="B18:F18"/>
    <mergeCell ref="B20:B22"/>
    <mergeCell ref="C20:C22"/>
    <mergeCell ref="B25:E26"/>
  </mergeCells>
  <hyperlinks>
    <hyperlink ref="F6" r:id="rId1" xr:uid="{93D85835-6491-41D0-ACEA-F79B0E059B79}"/>
  </hyperlinks>
  <pageMargins left="0.88" right="0.57999999999999996" top="0.5" bottom="0.5" header="0.5" footer="0.5"/>
  <pageSetup paperSize="9" scale="81"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978F-8F88-45C6-AD0F-25F1A0FEB5C6}">
  <sheetPr>
    <tabColor rgb="FF92D050"/>
    <pageSetUpPr fitToPage="1"/>
  </sheetPr>
  <dimension ref="B1:M34"/>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44" t="s">
        <v>62</v>
      </c>
      <c r="F14" s="44">
        <v>202103</v>
      </c>
    </row>
    <row r="15" spans="2:8" ht="14" x14ac:dyDescent="0.3">
      <c r="B15" s="20"/>
      <c r="C15" s="20"/>
      <c r="E15" s="44" t="s">
        <v>31</v>
      </c>
      <c r="F15" s="23"/>
    </row>
    <row r="16" spans="2:8" x14ac:dyDescent="0.25">
      <c r="B16" s="4"/>
      <c r="C16" s="4"/>
      <c r="E16" s="44" t="s">
        <v>72</v>
      </c>
      <c r="F16" s="44"/>
    </row>
    <row r="17" spans="2:13" x14ac:dyDescent="0.25">
      <c r="B17" s="4"/>
      <c r="C17" s="4"/>
      <c r="E17" s="44"/>
      <c r="F17" s="44"/>
    </row>
    <row r="18" spans="2:13" ht="17.25" customHeight="1" x14ac:dyDescent="0.25">
      <c r="B18" s="217" t="s">
        <v>78</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220" t="s">
        <v>77</v>
      </c>
      <c r="C20" s="220" t="s">
        <v>73</v>
      </c>
      <c r="D20" s="50" t="s">
        <v>79</v>
      </c>
      <c r="E20" s="71" t="s">
        <v>34</v>
      </c>
      <c r="F20" s="67" t="s">
        <v>40</v>
      </c>
      <c r="M20" s="4"/>
    </row>
    <row r="21" spans="2:13" s="26" customFormat="1" ht="16.5" customHeight="1" x14ac:dyDescent="0.25">
      <c r="B21" s="221"/>
      <c r="C21" s="221"/>
      <c r="D21" s="72"/>
      <c r="E21" s="73"/>
      <c r="F21" s="81"/>
      <c r="M21" s="4"/>
    </row>
    <row r="22" spans="2:13" s="26" customFormat="1" ht="21" customHeight="1" x14ac:dyDescent="0.25">
      <c r="B22" s="221"/>
      <c r="C22" s="221"/>
      <c r="D22" s="54"/>
      <c r="E22" s="73"/>
      <c r="F22" s="81"/>
      <c r="M22" s="4"/>
    </row>
    <row r="23" spans="2:13" s="26" customFormat="1" ht="27.5" customHeight="1" x14ac:dyDescent="0.25">
      <c r="B23" s="59" t="s">
        <v>75</v>
      </c>
      <c r="C23" s="75" t="s">
        <v>76</v>
      </c>
      <c r="D23" s="77" t="s">
        <v>49</v>
      </c>
      <c r="E23" s="76" t="s">
        <v>34</v>
      </c>
      <c r="F23" s="82" t="s">
        <v>80</v>
      </c>
      <c r="M23" s="4"/>
    </row>
    <row r="24" spans="2:13" ht="13.5" customHeight="1" x14ac:dyDescent="0.25">
      <c r="B24" s="26"/>
      <c r="C24" s="26"/>
      <c r="D24" s="26"/>
      <c r="E24" s="64" t="s">
        <v>18</v>
      </c>
      <c r="F24" s="65" t="s">
        <v>81</v>
      </c>
    </row>
    <row r="25" spans="2:13" ht="12.75" customHeight="1" x14ac:dyDescent="0.25">
      <c r="B25" s="219" t="s">
        <v>19</v>
      </c>
      <c r="C25" s="219"/>
      <c r="D25" s="219"/>
      <c r="E25" s="219"/>
      <c r="F25" s="26"/>
    </row>
    <row r="26" spans="2:13" x14ac:dyDescent="0.25">
      <c r="B26" s="219"/>
      <c r="C26" s="219"/>
      <c r="D26" s="219"/>
      <c r="E26" s="219"/>
      <c r="F26" s="26"/>
    </row>
    <row r="27" spans="2:13" s="8" customFormat="1" x14ac:dyDescent="0.25">
      <c r="B27"/>
      <c r="C27"/>
      <c r="D27"/>
      <c r="E27"/>
      <c r="F27"/>
    </row>
    <row r="29" spans="2:13" x14ac:dyDescent="0.25">
      <c r="B29" s="8" t="s">
        <v>20</v>
      </c>
      <c r="C29" s="8"/>
    </row>
    <row r="30" spans="2:13" x14ac:dyDescent="0.25">
      <c r="B30" s="8" t="s">
        <v>21</v>
      </c>
      <c r="C30" s="8"/>
    </row>
    <row r="31" spans="2:13" x14ac:dyDescent="0.25">
      <c r="B31" s="8"/>
      <c r="C31" s="8"/>
    </row>
    <row r="32" spans="2:13" x14ac:dyDescent="0.25">
      <c r="B32" s="4"/>
      <c r="C32" s="4"/>
    </row>
    <row r="34" spans="2:6" x14ac:dyDescent="0.25">
      <c r="B34" s="8" t="s">
        <v>22</v>
      </c>
      <c r="C34" s="8"/>
      <c r="D34" s="8" t="s">
        <v>23</v>
      </c>
      <c r="E34" s="8"/>
      <c r="F34" s="8"/>
    </row>
  </sheetData>
  <mergeCells count="4">
    <mergeCell ref="B18:F18"/>
    <mergeCell ref="B20:B22"/>
    <mergeCell ref="C20:C22"/>
    <mergeCell ref="B25:E26"/>
  </mergeCells>
  <hyperlinks>
    <hyperlink ref="F6" r:id="rId1" xr:uid="{0BA16757-7E4E-4D39-A3D9-FC4BEFBA19A2}"/>
  </hyperlinks>
  <pageMargins left="0.88" right="0.57999999999999996" top="0.5" bottom="0.5" header="0.5" footer="0.5"/>
  <pageSetup paperSize="9" scale="81"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ACBD-7381-42EE-8C9F-A711202EC08A}">
  <sheetPr>
    <tabColor rgb="FF92D050"/>
    <pageSetUpPr fitToPage="1"/>
  </sheetPr>
  <dimension ref="B1:M33"/>
  <sheetViews>
    <sheetView showGridLines="0" topLeftCell="A12" zoomScaleNormal="100" workbookViewId="0">
      <selection activeCell="C30" sqref="C3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44" t="s">
        <v>62</v>
      </c>
      <c r="F14" s="44">
        <v>202104</v>
      </c>
    </row>
    <row r="15" spans="2:8" ht="14" x14ac:dyDescent="0.3">
      <c r="B15" s="20"/>
      <c r="C15" s="20"/>
      <c r="E15" s="44" t="s">
        <v>31</v>
      </c>
      <c r="F15" s="23"/>
    </row>
    <row r="16" spans="2:8" x14ac:dyDescent="0.25">
      <c r="B16" s="4"/>
      <c r="C16" s="4"/>
      <c r="E16" s="44" t="s">
        <v>72</v>
      </c>
      <c r="F16" s="44"/>
    </row>
    <row r="17" spans="2:13" x14ac:dyDescent="0.25">
      <c r="B17" s="4"/>
      <c r="C17" s="4"/>
      <c r="E17" s="44"/>
      <c r="F17" s="44"/>
    </row>
    <row r="18" spans="2:13" ht="17.25" customHeight="1" x14ac:dyDescent="0.25">
      <c r="B18" s="217" t="s">
        <v>82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6.5" customHeight="1" x14ac:dyDescent="0.25">
      <c r="B20" s="220" t="s">
        <v>77</v>
      </c>
      <c r="C20" s="223" t="s">
        <v>73</v>
      </c>
      <c r="D20" s="220" t="s">
        <v>83</v>
      </c>
      <c r="E20" s="220" t="s">
        <v>34</v>
      </c>
      <c r="F20" s="226">
        <v>120</v>
      </c>
      <c r="M20" s="4"/>
    </row>
    <row r="21" spans="2:13" s="26" customFormat="1" ht="4.5" customHeight="1" x14ac:dyDescent="0.25">
      <c r="B21" s="221"/>
      <c r="C21" s="224"/>
      <c r="D21" s="221"/>
      <c r="E21" s="221"/>
      <c r="F21" s="227"/>
      <c r="M21" s="4"/>
    </row>
    <row r="22" spans="2:13" s="26" customFormat="1" ht="18" customHeight="1" x14ac:dyDescent="0.25">
      <c r="B22" s="222"/>
      <c r="C22" s="225"/>
      <c r="D22" s="78" t="s">
        <v>84</v>
      </c>
      <c r="E22" s="79" t="s">
        <v>34</v>
      </c>
      <c r="F22" s="80">
        <v>120</v>
      </c>
      <c r="M22" s="4"/>
    </row>
    <row r="23" spans="2:13" ht="13.5" customHeight="1" x14ac:dyDescent="0.25">
      <c r="B23" s="26"/>
      <c r="C23" s="26"/>
      <c r="D23" s="26"/>
      <c r="E23" s="64" t="s">
        <v>18</v>
      </c>
      <c r="F23" s="65">
        <v>240</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7">
    <mergeCell ref="B24:E25"/>
    <mergeCell ref="B18:F18"/>
    <mergeCell ref="B20:B22"/>
    <mergeCell ref="C20:C22"/>
    <mergeCell ref="D20:D21"/>
    <mergeCell ref="E20:E21"/>
    <mergeCell ref="F20:F21"/>
  </mergeCells>
  <hyperlinks>
    <hyperlink ref="F6" r:id="rId1" xr:uid="{E3A6F2C1-0B8F-4E10-83F1-48C2823E94E7}"/>
  </hyperlinks>
  <pageMargins left="0.88" right="0.57999999999999996" top="0.5" bottom="0.5" header="0.5" footer="0.5"/>
  <pageSetup paperSize="9" scale="81"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FD44-F20C-4D39-8CBB-727B875701ED}">
  <sheetPr>
    <tabColor rgb="FF92D050"/>
    <pageSetUpPr fitToPage="1"/>
  </sheetPr>
  <dimension ref="B1:M34"/>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85</v>
      </c>
      <c r="C8" s="20"/>
      <c r="F8" s="21"/>
      <c r="H8" s="13"/>
    </row>
    <row r="9" spans="2:8" ht="13.5" customHeight="1" x14ac:dyDescent="0.3">
      <c r="B9" s="49" t="s">
        <v>86</v>
      </c>
      <c r="C9" s="20"/>
      <c r="E9" s="22"/>
      <c r="F9" s="37"/>
    </row>
    <row r="10" spans="2:8" ht="13.5" customHeight="1" x14ac:dyDescent="0.3">
      <c r="B10" s="4" t="s">
        <v>87</v>
      </c>
      <c r="C10" s="20"/>
      <c r="E10" s="22"/>
      <c r="F10" s="37"/>
    </row>
    <row r="11" spans="2:8" ht="13.5" customHeight="1" x14ac:dyDescent="0.3">
      <c r="B11" s="4" t="s">
        <v>88</v>
      </c>
      <c r="C11" s="20"/>
    </row>
    <row r="12" spans="2:8" ht="13.5" customHeight="1" x14ac:dyDescent="0.3">
      <c r="C12" s="20"/>
    </row>
    <row r="13" spans="2:8" ht="13.5" customHeight="1" x14ac:dyDescent="0.25"/>
    <row r="14" spans="2:8" x14ac:dyDescent="0.25">
      <c r="E14" s="44" t="s">
        <v>62</v>
      </c>
      <c r="F14" s="44">
        <v>202105</v>
      </c>
    </row>
    <row r="15" spans="2:8" ht="14" x14ac:dyDescent="0.3">
      <c r="B15" s="20"/>
      <c r="C15" s="33"/>
      <c r="E15" s="44" t="s">
        <v>31</v>
      </c>
      <c r="F15" s="23"/>
    </row>
    <row r="16" spans="2:8" x14ac:dyDescent="0.25">
      <c r="B16" s="4"/>
      <c r="C16" s="4"/>
      <c r="E16" s="44" t="s">
        <v>89</v>
      </c>
      <c r="F16" s="44"/>
    </row>
    <row r="17" spans="2:13" x14ac:dyDescent="0.25">
      <c r="B17" s="4"/>
      <c r="C17" s="4"/>
      <c r="E17" s="44"/>
      <c r="F17" s="44"/>
    </row>
    <row r="18" spans="2:13" ht="17.25" customHeight="1" x14ac:dyDescent="0.25">
      <c r="B18" s="217" t="s">
        <v>96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220" t="s">
        <v>95</v>
      </c>
      <c r="C20" s="220" t="s">
        <v>64</v>
      </c>
      <c r="D20" s="50" t="s">
        <v>91</v>
      </c>
      <c r="E20" s="68" t="s">
        <v>32</v>
      </c>
      <c r="F20" s="67" t="s">
        <v>33</v>
      </c>
      <c r="M20" s="4"/>
    </row>
    <row r="21" spans="2:13" s="26" customFormat="1" ht="19" customHeight="1" x14ac:dyDescent="0.25">
      <c r="B21" s="221"/>
      <c r="C21" s="221"/>
      <c r="D21" s="54" t="s">
        <v>92</v>
      </c>
      <c r="E21" s="69" t="s">
        <v>34</v>
      </c>
      <c r="F21" s="81" t="s">
        <v>93</v>
      </c>
      <c r="M21" s="4"/>
    </row>
    <row r="22" spans="2:13" s="26" customFormat="1" ht="19" customHeight="1" x14ac:dyDescent="0.25">
      <c r="B22" s="222"/>
      <c r="C22" s="222"/>
      <c r="D22" s="35" t="s">
        <v>94</v>
      </c>
      <c r="E22" s="83" t="s">
        <v>34</v>
      </c>
      <c r="F22" s="31" t="s">
        <v>35</v>
      </c>
      <c r="M22" s="4"/>
    </row>
    <row r="23" spans="2:13" ht="29" customHeight="1" x14ac:dyDescent="0.25">
      <c r="B23" s="59" t="s">
        <v>75</v>
      </c>
      <c r="C23" s="75" t="s">
        <v>76</v>
      </c>
      <c r="D23" s="77" t="s">
        <v>90</v>
      </c>
      <c r="E23" s="76" t="s">
        <v>34</v>
      </c>
      <c r="F23" s="82" t="s">
        <v>40</v>
      </c>
    </row>
    <row r="24" spans="2:13" ht="12.75" customHeight="1" x14ac:dyDescent="0.25">
      <c r="B24" s="26"/>
      <c r="C24" s="26"/>
      <c r="D24" s="26"/>
      <c r="E24" s="64" t="s">
        <v>18</v>
      </c>
      <c r="F24" s="65">
        <v>440</v>
      </c>
    </row>
    <row r="25" spans="2:13" x14ac:dyDescent="0.25">
      <c r="B25" s="219" t="s">
        <v>19</v>
      </c>
      <c r="C25" s="219"/>
      <c r="D25" s="219"/>
      <c r="E25" s="219"/>
      <c r="F25" s="26"/>
    </row>
    <row r="26" spans="2:13" s="8" customFormat="1" x14ac:dyDescent="0.2">
      <c r="B26" s="219"/>
      <c r="C26" s="219"/>
      <c r="D26" s="219"/>
      <c r="E26" s="219"/>
      <c r="F26" s="26"/>
    </row>
    <row r="29" spans="2:13" x14ac:dyDescent="0.25">
      <c r="B29" s="8" t="s">
        <v>20</v>
      </c>
      <c r="C29" s="8"/>
    </row>
    <row r="30" spans="2:13" x14ac:dyDescent="0.25">
      <c r="B30" s="8" t="s">
        <v>21</v>
      </c>
      <c r="C30" s="8"/>
    </row>
    <row r="31" spans="2:13" x14ac:dyDescent="0.25">
      <c r="B31" s="8"/>
      <c r="C31" s="8"/>
    </row>
    <row r="32" spans="2:13" x14ac:dyDescent="0.25">
      <c r="B32" s="4"/>
      <c r="C32" s="4"/>
    </row>
    <row r="34" spans="2:6" x14ac:dyDescent="0.25">
      <c r="B34" s="8" t="s">
        <v>22</v>
      </c>
      <c r="C34" s="8"/>
      <c r="D34" s="8" t="s">
        <v>23</v>
      </c>
      <c r="E34" s="8"/>
      <c r="F34" s="8"/>
    </row>
  </sheetData>
  <mergeCells count="4">
    <mergeCell ref="B18:F18"/>
    <mergeCell ref="B20:B22"/>
    <mergeCell ref="C20:C22"/>
    <mergeCell ref="B25:E26"/>
  </mergeCells>
  <hyperlinks>
    <hyperlink ref="F6" r:id="rId1" xr:uid="{C6DDFE98-D49A-4F65-AC38-A1D4D6B704A7}"/>
  </hyperlinks>
  <pageMargins left="0.88" right="0.57999999999999996" top="0.5" bottom="0.5" header="0.5" footer="0.5"/>
  <pageSetup paperSize="9" scale="81"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DAC4-1FFA-447F-B462-3A2EE6560EAC}">
  <sheetPr>
    <tabColor rgb="FF92D050"/>
    <pageSetUpPr fitToPage="1"/>
  </sheetPr>
  <dimension ref="B1:M33"/>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97</v>
      </c>
      <c r="C8" s="20"/>
      <c r="F8" s="21"/>
      <c r="H8" s="13"/>
    </row>
    <row r="9" spans="2:8" ht="13.5" customHeight="1" x14ac:dyDescent="0.3">
      <c r="B9" s="20" t="s">
        <v>98</v>
      </c>
      <c r="C9" s="20"/>
      <c r="E9" s="22"/>
      <c r="F9" s="37"/>
    </row>
    <row r="10" spans="2:8" ht="13.5" customHeight="1" x14ac:dyDescent="0.3">
      <c r="B10" s="20" t="s">
        <v>99</v>
      </c>
      <c r="C10" s="20"/>
      <c r="E10" s="22"/>
      <c r="F10" s="37"/>
    </row>
    <row r="11" spans="2:8" ht="13.5" customHeight="1" x14ac:dyDescent="0.3">
      <c r="B11" s="20" t="s">
        <v>100</v>
      </c>
      <c r="C11" s="20"/>
    </row>
    <row r="12" spans="2:8" ht="13.5" customHeight="1" x14ac:dyDescent="0.3">
      <c r="C12" s="20"/>
    </row>
    <row r="13" spans="2:8" ht="13.5" customHeight="1" x14ac:dyDescent="0.25"/>
    <row r="14" spans="2:8" x14ac:dyDescent="0.25">
      <c r="E14" s="44" t="s">
        <v>62</v>
      </c>
      <c r="F14" s="44">
        <v>202106</v>
      </c>
    </row>
    <row r="15" spans="2:8" ht="14" x14ac:dyDescent="0.3">
      <c r="B15" s="20"/>
      <c r="C15" s="20"/>
      <c r="E15" s="44" t="s">
        <v>31</v>
      </c>
      <c r="F15" s="23"/>
    </row>
    <row r="16" spans="2:8" x14ac:dyDescent="0.25">
      <c r="B16" s="4"/>
      <c r="C16" s="4"/>
      <c r="E16" s="44" t="s">
        <v>101</v>
      </c>
      <c r="F16" s="44"/>
    </row>
    <row r="17" spans="2:13" x14ac:dyDescent="0.25">
      <c r="B17" s="4"/>
      <c r="C17" s="4"/>
      <c r="E17" s="44"/>
      <c r="F17" s="44"/>
    </row>
    <row r="18" spans="2:13" ht="17.25" customHeight="1" x14ac:dyDescent="0.25">
      <c r="B18" s="217" t="s">
        <v>103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220" t="s">
        <v>106</v>
      </c>
      <c r="C20" s="220" t="s">
        <v>73</v>
      </c>
      <c r="D20" s="50" t="s">
        <v>83</v>
      </c>
      <c r="E20" s="41" t="s">
        <v>34</v>
      </c>
      <c r="F20" s="67" t="s">
        <v>35</v>
      </c>
      <c r="M20" s="4"/>
    </row>
    <row r="21" spans="2:13" s="26" customFormat="1" ht="19" customHeight="1" x14ac:dyDescent="0.25">
      <c r="B21" s="222"/>
      <c r="C21" s="222"/>
      <c r="D21" s="35"/>
      <c r="E21" s="42"/>
      <c r="F21" s="84"/>
      <c r="M21" s="4"/>
    </row>
    <row r="22" spans="2:13" s="26" customFormat="1" ht="38" customHeight="1" x14ac:dyDescent="0.25">
      <c r="B22" s="74" t="s">
        <v>104</v>
      </c>
      <c r="C22" s="85" t="s">
        <v>105</v>
      </c>
      <c r="D22" s="77" t="s">
        <v>83</v>
      </c>
      <c r="E22" s="85" t="s">
        <v>34</v>
      </c>
      <c r="F22" s="82" t="s">
        <v>35</v>
      </c>
      <c r="M22" s="4"/>
    </row>
    <row r="23" spans="2:13" ht="23" customHeight="1" x14ac:dyDescent="0.25">
      <c r="B23" s="26"/>
      <c r="C23" s="26"/>
      <c r="D23" s="26"/>
      <c r="E23" s="64" t="s">
        <v>18</v>
      </c>
      <c r="F23" s="65" t="s">
        <v>102</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18:F18"/>
    <mergeCell ref="B20:B21"/>
    <mergeCell ref="C20:C21"/>
    <mergeCell ref="B24:E25"/>
  </mergeCells>
  <hyperlinks>
    <hyperlink ref="F6" r:id="rId1" xr:uid="{21743897-E14C-4331-8913-BFFBF88F6F49}"/>
  </hyperlinks>
  <pageMargins left="0.88" right="0.57999999999999996" top="0.5" bottom="0.5" header="0.5" footer="0.5"/>
  <pageSetup paperSize="9" scale="81"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34A7-217A-404B-993B-95D5C906CE4C}">
  <sheetPr>
    <tabColor rgb="FF92D050"/>
    <pageSetUpPr fitToPage="1"/>
  </sheetPr>
  <dimension ref="B1:M35"/>
  <sheetViews>
    <sheetView showGridLines="0" topLeftCell="A9" zoomScaleNormal="100" workbookViewId="0">
      <selection activeCell="B26" sqref="B26:E27"/>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86" t="s">
        <v>107</v>
      </c>
      <c r="C8" s="20"/>
      <c r="F8" s="21"/>
      <c r="H8" s="13"/>
    </row>
    <row r="9" spans="2:8" ht="13.5" customHeight="1" x14ac:dyDescent="0.3">
      <c r="B9" s="86" t="s">
        <v>108</v>
      </c>
      <c r="C9" s="20"/>
      <c r="E9" s="22"/>
      <c r="F9" s="37"/>
    </row>
    <row r="10" spans="2:8" ht="13.5" customHeight="1" x14ac:dyDescent="0.3">
      <c r="B10" s="86" t="s">
        <v>109</v>
      </c>
      <c r="C10" s="20"/>
      <c r="E10" s="22"/>
      <c r="F10" s="37"/>
    </row>
    <row r="11" spans="2:8" ht="13.5" customHeight="1" x14ac:dyDescent="0.3">
      <c r="B11" s="86" t="s">
        <v>110</v>
      </c>
      <c r="C11" s="20"/>
    </row>
    <row r="12" spans="2:8" ht="13.5" customHeight="1" x14ac:dyDescent="0.3">
      <c r="C12" s="20"/>
    </row>
    <row r="13" spans="2:8" ht="13.5" customHeight="1" x14ac:dyDescent="0.25"/>
    <row r="14" spans="2:8" x14ac:dyDescent="0.25">
      <c r="E14" s="47" t="s">
        <v>62</v>
      </c>
      <c r="F14" s="47">
        <v>202107</v>
      </c>
    </row>
    <row r="15" spans="2:8" ht="14" x14ac:dyDescent="0.3">
      <c r="B15" s="20"/>
      <c r="C15" s="33"/>
      <c r="E15" s="47" t="s">
        <v>31</v>
      </c>
      <c r="F15" s="23"/>
    </row>
    <row r="16" spans="2:8" x14ac:dyDescent="0.25">
      <c r="B16" s="4"/>
      <c r="C16" s="4"/>
      <c r="E16" s="47" t="s">
        <v>111</v>
      </c>
      <c r="F16" s="47"/>
    </row>
    <row r="17" spans="2:13" x14ac:dyDescent="0.25">
      <c r="B17" s="4"/>
      <c r="C17" s="4"/>
      <c r="E17" s="47"/>
      <c r="F17" s="47"/>
    </row>
    <row r="18" spans="2:13" ht="17.25" customHeight="1" x14ac:dyDescent="0.25">
      <c r="B18" s="217" t="s">
        <v>112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220" t="s">
        <v>113</v>
      </c>
      <c r="C20" s="220" t="s">
        <v>73</v>
      </c>
      <c r="D20" s="50" t="s">
        <v>117</v>
      </c>
      <c r="E20" s="41" t="s">
        <v>34</v>
      </c>
      <c r="F20" s="67" t="s">
        <v>35</v>
      </c>
      <c r="M20" s="4"/>
    </row>
    <row r="21" spans="2:13" s="26" customFormat="1" ht="19" customHeight="1" x14ac:dyDescent="0.25">
      <c r="B21" s="221"/>
      <c r="C21" s="221"/>
      <c r="D21" s="54" t="s">
        <v>116</v>
      </c>
      <c r="E21" s="36" t="s">
        <v>34</v>
      </c>
      <c r="F21" s="81" t="s">
        <v>35</v>
      </c>
      <c r="M21" s="4"/>
    </row>
    <row r="22" spans="2:13" s="26" customFormat="1" ht="19" customHeight="1" x14ac:dyDescent="0.25">
      <c r="B22" s="221"/>
      <c r="C22" s="221"/>
      <c r="D22" s="54" t="s">
        <v>118</v>
      </c>
      <c r="E22" s="36" t="s">
        <v>34</v>
      </c>
      <c r="F22" s="81" t="s">
        <v>35</v>
      </c>
      <c r="M22" s="4"/>
    </row>
    <row r="23" spans="2:13" s="26" customFormat="1" ht="19" customHeight="1" x14ac:dyDescent="0.25">
      <c r="B23" s="222"/>
      <c r="C23" s="222"/>
      <c r="D23" s="35" t="s">
        <v>115</v>
      </c>
      <c r="E23" s="36" t="s">
        <v>34</v>
      </c>
      <c r="F23" s="84" t="s">
        <v>35</v>
      </c>
      <c r="M23" s="4"/>
    </row>
    <row r="24" spans="2:13" s="26" customFormat="1" ht="38" customHeight="1" x14ac:dyDescent="0.25">
      <c r="B24" s="74" t="s">
        <v>120</v>
      </c>
      <c r="C24" s="85" t="s">
        <v>105</v>
      </c>
      <c r="D24" s="77" t="s">
        <v>114</v>
      </c>
      <c r="E24" s="85" t="s">
        <v>34</v>
      </c>
      <c r="F24" s="82" t="s">
        <v>35</v>
      </c>
      <c r="M24" s="4"/>
    </row>
    <row r="25" spans="2:13" ht="23" customHeight="1" x14ac:dyDescent="0.25">
      <c r="B25" s="26"/>
      <c r="C25" s="26"/>
      <c r="D25" s="26"/>
      <c r="E25" s="64" t="s">
        <v>18</v>
      </c>
      <c r="F25" s="65" t="s">
        <v>119</v>
      </c>
    </row>
    <row r="26" spans="2:13" ht="12.75" customHeight="1" x14ac:dyDescent="0.25">
      <c r="B26" s="219" t="s">
        <v>19</v>
      </c>
      <c r="C26" s="219"/>
      <c r="D26" s="219"/>
      <c r="E26" s="219"/>
      <c r="F26" s="26"/>
    </row>
    <row r="27" spans="2:13" x14ac:dyDescent="0.25">
      <c r="B27" s="219"/>
      <c r="C27" s="219"/>
      <c r="D27" s="219"/>
      <c r="E27" s="219"/>
      <c r="F27" s="26"/>
    </row>
    <row r="28" spans="2:13" s="8" customFormat="1" x14ac:dyDescent="0.25">
      <c r="B28"/>
      <c r="C28"/>
      <c r="D28"/>
      <c r="E28"/>
      <c r="F28"/>
    </row>
    <row r="30" spans="2:13" x14ac:dyDescent="0.25">
      <c r="B30" s="8" t="s">
        <v>20</v>
      </c>
      <c r="C30" s="8"/>
    </row>
    <row r="31" spans="2:13" x14ac:dyDescent="0.25">
      <c r="B31" s="8" t="s">
        <v>21</v>
      </c>
      <c r="C31" s="8"/>
    </row>
    <row r="32" spans="2:13" x14ac:dyDescent="0.25">
      <c r="B32" s="8"/>
      <c r="C32" s="8"/>
    </row>
    <row r="33" spans="2:6" x14ac:dyDescent="0.25">
      <c r="B33" s="4"/>
      <c r="C33" s="4"/>
    </row>
    <row r="35" spans="2:6" x14ac:dyDescent="0.25">
      <c r="B35" s="8" t="s">
        <v>22</v>
      </c>
      <c r="C35" s="8"/>
      <c r="D35" s="8" t="s">
        <v>23</v>
      </c>
      <c r="E35" s="8"/>
      <c r="F35" s="8"/>
    </row>
  </sheetData>
  <mergeCells count="4">
    <mergeCell ref="B18:F18"/>
    <mergeCell ref="B20:B23"/>
    <mergeCell ref="C20:C23"/>
    <mergeCell ref="B26:E27"/>
  </mergeCells>
  <hyperlinks>
    <hyperlink ref="F6" r:id="rId1" xr:uid="{F060CBE2-73AC-4686-B7B8-471E3BE2AD3F}"/>
  </hyperlinks>
  <pageMargins left="0.88" right="0.57999999999999996" top="0.5" bottom="0.5" header="0.5" footer="0.5"/>
  <pageSetup paperSize="9" scale="80"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FCDD-3C7A-4265-AE4C-D76998FB3A41}">
  <sheetPr>
    <tabColor rgb="FF92D050"/>
    <pageSetUpPr fitToPage="1"/>
  </sheetPr>
  <dimension ref="B1:M36"/>
  <sheetViews>
    <sheetView showGridLines="0" topLeftCell="A9" zoomScaleNormal="100" workbookViewId="0">
      <selection activeCell="F20" sqref="F20"/>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25">
      <c r="B8" s="228" t="s">
        <v>267</v>
      </c>
      <c r="C8" s="228"/>
      <c r="F8" s="21"/>
      <c r="H8" s="13"/>
    </row>
    <row r="9" spans="2:8" ht="13.5" customHeight="1" x14ac:dyDescent="0.35">
      <c r="B9" s="87" t="s">
        <v>124</v>
      </c>
      <c r="C9" s="20"/>
      <c r="E9" s="22"/>
      <c r="F9" s="37"/>
    </row>
    <row r="10" spans="2:8" ht="13.5" customHeight="1" x14ac:dyDescent="0.3">
      <c r="B10" s="86" t="s">
        <v>122</v>
      </c>
      <c r="C10" s="20"/>
      <c r="E10" s="22"/>
      <c r="F10" s="37"/>
    </row>
    <row r="11" spans="2:8" ht="13.5" customHeight="1" x14ac:dyDescent="0.3">
      <c r="B11" s="86" t="s">
        <v>123</v>
      </c>
      <c r="C11" s="20"/>
    </row>
    <row r="12" spans="2:8" ht="13.5" customHeight="1" x14ac:dyDescent="0.3">
      <c r="C12" s="20"/>
    </row>
    <row r="13" spans="2:8" ht="13.5" customHeight="1" x14ac:dyDescent="0.25"/>
    <row r="14" spans="2:8" x14ac:dyDescent="0.25">
      <c r="E14" s="44" t="s">
        <v>62</v>
      </c>
      <c r="F14" s="44">
        <v>202108</v>
      </c>
    </row>
    <row r="15" spans="2:8" ht="14" x14ac:dyDescent="0.3">
      <c r="B15" s="20"/>
      <c r="C15" s="33"/>
      <c r="E15" s="44" t="s">
        <v>137</v>
      </c>
      <c r="F15" s="23"/>
    </row>
    <row r="16" spans="2:8" x14ac:dyDescent="0.25">
      <c r="B16" s="4"/>
      <c r="C16" s="4"/>
      <c r="E16" s="44" t="s">
        <v>125</v>
      </c>
      <c r="F16" s="44"/>
    </row>
    <row r="17" spans="2:13" x14ac:dyDescent="0.25">
      <c r="B17" s="4"/>
      <c r="C17" s="4"/>
      <c r="E17" s="44"/>
      <c r="F17" s="44"/>
    </row>
    <row r="18" spans="2:13" ht="17.25" customHeight="1" x14ac:dyDescent="0.25">
      <c r="B18" s="217" t="s">
        <v>126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41.5" customHeight="1" x14ac:dyDescent="0.25">
      <c r="B20" s="59" t="s">
        <v>127</v>
      </c>
      <c r="C20" s="85" t="s">
        <v>145</v>
      </c>
      <c r="D20" s="50" t="s">
        <v>128</v>
      </c>
      <c r="E20" s="41" t="s">
        <v>134</v>
      </c>
      <c r="F20" s="90">
        <v>200</v>
      </c>
      <c r="M20" s="4"/>
    </row>
    <row r="21" spans="2:13" s="26" customFormat="1" ht="14" customHeight="1" x14ac:dyDescent="0.25">
      <c r="B21" s="220" t="s">
        <v>133</v>
      </c>
      <c r="C21" s="223" t="s">
        <v>147</v>
      </c>
      <c r="D21" s="50" t="s">
        <v>118</v>
      </c>
      <c r="E21" s="41" t="s">
        <v>34</v>
      </c>
      <c r="F21" s="90">
        <v>120</v>
      </c>
      <c r="M21" s="4"/>
    </row>
    <row r="22" spans="2:13" s="26" customFormat="1" ht="17" customHeight="1" x14ac:dyDescent="0.25">
      <c r="B22" s="222"/>
      <c r="C22" s="225"/>
      <c r="D22" s="35" t="s">
        <v>135</v>
      </c>
      <c r="E22" s="46" t="s">
        <v>34</v>
      </c>
      <c r="F22" s="31">
        <v>120</v>
      </c>
      <c r="M22" s="4"/>
    </row>
    <row r="23" spans="2:13" s="26" customFormat="1" ht="12.5" customHeight="1" x14ac:dyDescent="0.25">
      <c r="B23" s="41" t="s">
        <v>129</v>
      </c>
      <c r="C23" s="220" t="s">
        <v>146</v>
      </c>
      <c r="D23" s="54" t="s">
        <v>130</v>
      </c>
      <c r="E23" s="36" t="s">
        <v>131</v>
      </c>
      <c r="F23" s="32">
        <v>80</v>
      </c>
      <c r="M23" s="4"/>
    </row>
    <row r="24" spans="2:13" s="26" customFormat="1" ht="14.5" customHeight="1" x14ac:dyDescent="0.3">
      <c r="B24" s="36"/>
      <c r="C24" s="221"/>
      <c r="D24" s="89" t="s">
        <v>132</v>
      </c>
      <c r="E24" s="36" t="s">
        <v>34</v>
      </c>
      <c r="F24" s="32">
        <v>120</v>
      </c>
      <c r="M24" s="4"/>
    </row>
    <row r="25" spans="2:13" s="26" customFormat="1" ht="14.5" customHeight="1" x14ac:dyDescent="0.25">
      <c r="B25" s="42"/>
      <c r="C25" s="42"/>
      <c r="D25" s="35" t="s">
        <v>136</v>
      </c>
      <c r="E25" s="42" t="s">
        <v>34</v>
      </c>
      <c r="F25" s="31">
        <v>120</v>
      </c>
      <c r="M25" s="4"/>
    </row>
    <row r="26" spans="2:13" ht="23" customHeight="1" x14ac:dyDescent="0.25">
      <c r="B26" s="26"/>
      <c r="C26" s="26"/>
      <c r="D26" s="26"/>
      <c r="E26" s="64" t="s">
        <v>18</v>
      </c>
      <c r="F26" s="65">
        <v>760</v>
      </c>
    </row>
    <row r="27" spans="2:13" ht="12.75" customHeight="1" x14ac:dyDescent="0.25">
      <c r="B27" s="219" t="s">
        <v>19</v>
      </c>
      <c r="C27" s="219"/>
      <c r="D27" s="219"/>
      <c r="E27" s="219"/>
      <c r="F27" s="26"/>
    </row>
    <row r="28" spans="2:13" x14ac:dyDescent="0.25">
      <c r="B28" s="219"/>
      <c r="C28" s="219"/>
      <c r="D28" s="219"/>
      <c r="E28" s="219"/>
      <c r="F28" s="26"/>
    </row>
    <row r="29" spans="2:13" s="8" customFormat="1" x14ac:dyDescent="0.25">
      <c r="B29"/>
      <c r="C29"/>
      <c r="D29"/>
      <c r="E29"/>
      <c r="F29"/>
    </row>
    <row r="31" spans="2:13" x14ac:dyDescent="0.25">
      <c r="B31" s="8" t="s">
        <v>20</v>
      </c>
      <c r="C31" s="8"/>
    </row>
    <row r="32" spans="2:13" x14ac:dyDescent="0.25">
      <c r="B32" s="8" t="s">
        <v>21</v>
      </c>
      <c r="C32" s="8"/>
    </row>
    <row r="33" spans="2:6" x14ac:dyDescent="0.25">
      <c r="B33" s="8"/>
      <c r="C33" s="8"/>
    </row>
    <row r="34" spans="2:6" x14ac:dyDescent="0.25">
      <c r="B34" s="4"/>
      <c r="C34" s="4"/>
    </row>
    <row r="36" spans="2:6" x14ac:dyDescent="0.25">
      <c r="B36" s="8" t="s">
        <v>22</v>
      </c>
      <c r="C36" s="8"/>
      <c r="D36" s="8" t="s">
        <v>23</v>
      </c>
      <c r="E36" s="8"/>
      <c r="F36" s="8"/>
    </row>
  </sheetData>
  <mergeCells count="6">
    <mergeCell ref="B8:C8"/>
    <mergeCell ref="B27:E28"/>
    <mergeCell ref="B18:F18"/>
    <mergeCell ref="B21:B22"/>
    <mergeCell ref="C21:C22"/>
    <mergeCell ref="C23:C24"/>
  </mergeCells>
  <hyperlinks>
    <hyperlink ref="F6" r:id="rId1" xr:uid="{ACF2A408-1EDE-4B26-B1C7-D82BDC2DAA4C}"/>
  </hyperlinks>
  <pageMargins left="0.88" right="0.57999999999999996" top="0.5" bottom="0.5" header="0.5" footer="0.5"/>
  <pageSetup paperSize="9" scale="80"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1947-FE2A-4D4F-8F77-CCF495FFBA0F}">
  <sheetPr>
    <tabColor rgb="FF92D050"/>
    <pageSetUpPr fitToPage="1"/>
  </sheetPr>
  <dimension ref="B1:M33"/>
  <sheetViews>
    <sheetView showGridLines="0" topLeftCell="A10" zoomScaleNormal="100" workbookViewId="0">
      <selection activeCell="B18" sqref="B18:F18"/>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25">
      <c r="B8" s="49" t="s">
        <v>138</v>
      </c>
      <c r="C8" s="49"/>
      <c r="F8" s="21"/>
      <c r="H8" s="13"/>
    </row>
    <row r="9" spans="2:8" ht="13.5" customHeight="1" x14ac:dyDescent="0.25">
      <c r="B9" s="49" t="s">
        <v>139</v>
      </c>
      <c r="C9" s="49"/>
      <c r="E9" s="22"/>
      <c r="F9" s="37"/>
    </row>
    <row r="10" spans="2:8" ht="13.5" customHeight="1" x14ac:dyDescent="0.25">
      <c r="B10" s="4" t="s">
        <v>140</v>
      </c>
      <c r="C10" s="4"/>
      <c r="E10" s="22"/>
      <c r="F10" s="37"/>
    </row>
    <row r="11" spans="2:8" ht="13.5" customHeight="1" x14ac:dyDescent="0.25">
      <c r="B11" s="4" t="s">
        <v>141</v>
      </c>
      <c r="C11" s="4"/>
    </row>
    <row r="12" spans="2:8" ht="13.5" customHeight="1" x14ac:dyDescent="0.3">
      <c r="C12" s="20"/>
    </row>
    <row r="13" spans="2:8" ht="13.5" customHeight="1" x14ac:dyDescent="0.25"/>
    <row r="14" spans="2:8" x14ac:dyDescent="0.25">
      <c r="E14" s="47" t="s">
        <v>62</v>
      </c>
      <c r="F14" s="47">
        <v>202109</v>
      </c>
    </row>
    <row r="15" spans="2:8" ht="14" x14ac:dyDescent="0.3">
      <c r="B15" s="20"/>
      <c r="C15" s="33"/>
      <c r="E15" s="47" t="s">
        <v>137</v>
      </c>
      <c r="F15" s="23"/>
    </row>
    <row r="16" spans="2:8" x14ac:dyDescent="0.25">
      <c r="B16" s="4"/>
      <c r="C16" s="4"/>
      <c r="E16" s="47" t="s">
        <v>142</v>
      </c>
      <c r="F16" s="47"/>
    </row>
    <row r="17" spans="2:13" x14ac:dyDescent="0.25">
      <c r="B17" s="4"/>
      <c r="C17" s="4"/>
      <c r="E17" s="47"/>
      <c r="F17" s="47"/>
    </row>
    <row r="18" spans="2:13" ht="17.25" customHeight="1" x14ac:dyDescent="0.25">
      <c r="B18" s="217" t="s">
        <v>144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220" t="s">
        <v>143</v>
      </c>
      <c r="C20" s="220" t="s">
        <v>73</v>
      </c>
      <c r="D20" s="50" t="s">
        <v>84</v>
      </c>
      <c r="E20" s="41" t="s">
        <v>34</v>
      </c>
      <c r="F20" s="67" t="s">
        <v>35</v>
      </c>
      <c r="M20" s="4"/>
    </row>
    <row r="21" spans="2:13" s="26" customFormat="1" ht="19" customHeight="1" x14ac:dyDescent="0.25">
      <c r="B21" s="221"/>
      <c r="C21" s="221"/>
      <c r="D21" s="54"/>
      <c r="E21" s="36"/>
      <c r="F21" s="81"/>
      <c r="M21" s="4"/>
    </row>
    <row r="22" spans="2:13" s="26" customFormat="1" ht="38" customHeight="1" x14ac:dyDescent="0.25">
      <c r="B22" s="74" t="s">
        <v>120</v>
      </c>
      <c r="C22" s="85" t="s">
        <v>105</v>
      </c>
      <c r="D22" s="77" t="s">
        <v>84</v>
      </c>
      <c r="E22" s="85" t="s">
        <v>131</v>
      </c>
      <c r="F22" s="82" t="s">
        <v>40</v>
      </c>
      <c r="M22" s="4"/>
    </row>
    <row r="23" spans="2:13" ht="23" customHeight="1" x14ac:dyDescent="0.25">
      <c r="B23" s="26"/>
      <c r="C23" s="26"/>
      <c r="D23" s="26"/>
      <c r="E23" s="64" t="s">
        <v>18</v>
      </c>
      <c r="F23" s="65" t="s">
        <v>81</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18:F18"/>
    <mergeCell ref="B20:B21"/>
    <mergeCell ref="C20:C21"/>
    <mergeCell ref="B24:E25"/>
  </mergeCells>
  <hyperlinks>
    <hyperlink ref="F6" r:id="rId1" xr:uid="{E922C6B9-DF50-4781-B4FD-A47686EFD25A}"/>
  </hyperlinks>
  <pageMargins left="0.88" right="0.57999999999999996" top="0.5" bottom="0.5" header="0.5" footer="0.5"/>
  <pageSetup paperSize="9" scale="80"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6C4FF-4C98-4BA9-BE27-215D2511F5E7}">
  <sheetPr>
    <tabColor rgb="FF92D050"/>
    <pageSetUpPr fitToPage="1"/>
  </sheetPr>
  <dimension ref="B1:M31"/>
  <sheetViews>
    <sheetView showGridLines="0" topLeftCell="A9" zoomScaleNormal="100" workbookViewId="0">
      <selection activeCell="C29" sqref="C29"/>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 t="s">
        <v>156</v>
      </c>
      <c r="C8" s="20"/>
      <c r="F8" s="21"/>
      <c r="H8" s="13"/>
    </row>
    <row r="9" spans="2:8" ht="13.5" customHeight="1" x14ac:dyDescent="0.3">
      <c r="B9" s="86" t="s">
        <v>148</v>
      </c>
      <c r="C9" s="20"/>
      <c r="E9" s="22"/>
      <c r="F9" s="37"/>
    </row>
    <row r="10" spans="2:8" ht="13.5" customHeight="1" x14ac:dyDescent="0.3">
      <c r="B10" s="86" t="s">
        <v>149</v>
      </c>
      <c r="C10" s="20"/>
      <c r="E10" s="22"/>
      <c r="F10" s="37"/>
    </row>
    <row r="11" spans="2:8" ht="13.5" customHeight="1" x14ac:dyDescent="0.3">
      <c r="B11" s="86" t="s">
        <v>150</v>
      </c>
      <c r="C11" s="20"/>
    </row>
    <row r="12" spans="2:8" ht="13.5" customHeight="1" x14ac:dyDescent="0.3">
      <c r="C12" s="20"/>
    </row>
    <row r="13" spans="2:8" ht="13.5" customHeight="1" x14ac:dyDescent="0.25"/>
    <row r="14" spans="2:8" x14ac:dyDescent="0.25">
      <c r="E14" s="47" t="s">
        <v>62</v>
      </c>
      <c r="F14" s="47">
        <v>202110</v>
      </c>
    </row>
    <row r="15" spans="2:8" ht="14" x14ac:dyDescent="0.3">
      <c r="B15" s="20"/>
      <c r="C15" s="33"/>
      <c r="E15" s="47" t="s">
        <v>137</v>
      </c>
      <c r="F15" s="23"/>
    </row>
    <row r="16" spans="2:8" x14ac:dyDescent="0.25">
      <c r="B16" s="4"/>
      <c r="C16" s="4"/>
      <c r="E16" s="47" t="s">
        <v>151</v>
      </c>
      <c r="F16" s="47"/>
    </row>
    <row r="17" spans="2:13" x14ac:dyDescent="0.25">
      <c r="B17" s="4"/>
      <c r="C17" s="4"/>
      <c r="E17" s="47"/>
      <c r="F17" s="47"/>
    </row>
    <row r="18" spans="2:13" ht="17.25" customHeight="1" x14ac:dyDescent="0.25">
      <c r="B18" s="217" t="s">
        <v>157</v>
      </c>
      <c r="C18" s="218"/>
      <c r="D18" s="218"/>
      <c r="E18" s="218"/>
      <c r="F18" s="218"/>
    </row>
    <row r="19" spans="2:13" s="26" customFormat="1" ht="20.149999999999999" customHeight="1" x14ac:dyDescent="0.25">
      <c r="B19" s="24" t="s">
        <v>15</v>
      </c>
      <c r="C19" s="24"/>
      <c r="D19" s="24" t="s">
        <v>16</v>
      </c>
      <c r="E19" s="25" t="s">
        <v>17</v>
      </c>
      <c r="F19" s="29" t="s">
        <v>5</v>
      </c>
      <c r="M19" s="4"/>
    </row>
    <row r="20" spans="2:13" s="8" customFormat="1" x14ac:dyDescent="0.2">
      <c r="B20" s="220" t="s">
        <v>158</v>
      </c>
      <c r="C20" s="223" t="s">
        <v>64</v>
      </c>
      <c r="D20" s="50" t="s">
        <v>160</v>
      </c>
      <c r="E20" s="68" t="s">
        <v>153</v>
      </c>
      <c r="F20" s="67" t="s">
        <v>154</v>
      </c>
    </row>
    <row r="21" spans="2:13" x14ac:dyDescent="0.25">
      <c r="B21" s="221"/>
      <c r="C21" s="224"/>
      <c r="D21" s="54" t="s">
        <v>48</v>
      </c>
      <c r="E21" s="93" t="s">
        <v>37</v>
      </c>
      <c r="F21" s="32" t="s">
        <v>38</v>
      </c>
    </row>
    <row r="22" spans="2:13" x14ac:dyDescent="0.25">
      <c r="B22" s="221"/>
      <c r="C22" s="224"/>
      <c r="D22" s="54" t="s">
        <v>161</v>
      </c>
      <c r="E22" s="93" t="s">
        <v>37</v>
      </c>
      <c r="F22" s="32" t="s">
        <v>38</v>
      </c>
    </row>
    <row r="23" spans="2:13" x14ac:dyDescent="0.25">
      <c r="B23" s="221"/>
      <c r="C23" s="224"/>
      <c r="D23" s="54" t="s">
        <v>162</v>
      </c>
      <c r="E23" s="93" t="s">
        <v>37</v>
      </c>
      <c r="F23" s="32" t="s">
        <v>38</v>
      </c>
    </row>
    <row r="24" spans="2:13" x14ac:dyDescent="0.25">
      <c r="B24" s="222"/>
      <c r="C24" s="225"/>
      <c r="D24" s="57" t="s">
        <v>163</v>
      </c>
      <c r="E24" s="96" t="s">
        <v>37</v>
      </c>
      <c r="F24" s="32" t="s">
        <v>38</v>
      </c>
    </row>
    <row r="25" spans="2:13" x14ac:dyDescent="0.25">
      <c r="B25" s="220" t="s">
        <v>159</v>
      </c>
      <c r="C25" s="229"/>
      <c r="D25" s="91" t="s">
        <v>164</v>
      </c>
      <c r="E25" s="91" t="s">
        <v>131</v>
      </c>
      <c r="F25" s="97" t="s">
        <v>40</v>
      </c>
    </row>
    <row r="26" spans="2:13" x14ac:dyDescent="0.25">
      <c r="B26" s="222"/>
      <c r="C26" s="230"/>
      <c r="D26" s="98">
        <v>44292</v>
      </c>
      <c r="E26" s="58" t="s">
        <v>131</v>
      </c>
      <c r="F26" s="95" t="s">
        <v>40</v>
      </c>
    </row>
    <row r="27" spans="2:13" x14ac:dyDescent="0.25">
      <c r="B27" s="59" t="s">
        <v>155</v>
      </c>
      <c r="C27" s="59" t="s">
        <v>165</v>
      </c>
      <c r="D27" s="94"/>
      <c r="E27" s="94"/>
      <c r="F27" s="31" t="s">
        <v>166</v>
      </c>
    </row>
    <row r="28" spans="2:13" ht="13" x14ac:dyDescent="0.25">
      <c r="B28" s="26"/>
      <c r="C28" s="26"/>
      <c r="D28" s="26"/>
      <c r="E28" s="64" t="s">
        <v>18</v>
      </c>
      <c r="F28" s="65" t="s">
        <v>167</v>
      </c>
    </row>
    <row r="29" spans="2:13" x14ac:dyDescent="0.25">
      <c r="B29" s="4"/>
      <c r="C29" s="4"/>
    </row>
    <row r="31" spans="2:13" x14ac:dyDescent="0.25">
      <c r="B31" s="8" t="s">
        <v>22</v>
      </c>
      <c r="C31" s="8"/>
      <c r="D31" s="8" t="s">
        <v>23</v>
      </c>
      <c r="E31" s="8"/>
      <c r="F31" s="8"/>
    </row>
  </sheetData>
  <mergeCells count="5">
    <mergeCell ref="B18:F18"/>
    <mergeCell ref="B20:B24"/>
    <mergeCell ref="C20:C24"/>
    <mergeCell ref="B25:B26"/>
    <mergeCell ref="C25:C26"/>
  </mergeCells>
  <hyperlinks>
    <hyperlink ref="F6" r:id="rId1" xr:uid="{1148E453-24C0-4AA8-84F4-E4E26D6A8A48}"/>
  </hyperlinks>
  <pageMargins left="0.88" right="0.57999999999999996" top="0.5" bottom="0.5" header="0.5" footer="0.5"/>
  <pageSetup paperSize="9" scale="80"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2DF3-129E-47DD-9693-CC494DCC04E0}">
  <sheetPr>
    <tabColor rgb="FF92D050"/>
    <pageSetUpPr fitToPage="1"/>
  </sheetPr>
  <dimension ref="B1:M27"/>
  <sheetViews>
    <sheetView showGridLines="0" topLeftCell="A7" zoomScaleNormal="100" workbookViewId="0">
      <selection activeCell="B18" sqref="B18:F18"/>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168</v>
      </c>
      <c r="C8" s="20"/>
      <c r="F8" s="21"/>
      <c r="H8" s="13"/>
    </row>
    <row r="9" spans="2:8" ht="13.5" customHeight="1" x14ac:dyDescent="0.3">
      <c r="B9" s="49" t="s">
        <v>171</v>
      </c>
      <c r="C9" s="20"/>
      <c r="E9" s="22"/>
      <c r="F9" s="37"/>
    </row>
    <row r="10" spans="2:8" ht="13.5" customHeight="1" x14ac:dyDescent="0.3">
      <c r="B10" s="49" t="s">
        <v>169</v>
      </c>
      <c r="C10" s="20"/>
      <c r="E10" s="22"/>
      <c r="F10" s="37"/>
    </row>
    <row r="11" spans="2:8" ht="13.5" customHeight="1" x14ac:dyDescent="0.3">
      <c r="B11" s="49" t="s">
        <v>170</v>
      </c>
      <c r="C11" s="20"/>
    </row>
    <row r="12" spans="2:8" ht="13.5" customHeight="1" x14ac:dyDescent="0.3">
      <c r="C12" s="20"/>
    </row>
    <row r="13" spans="2:8" ht="13.5" customHeight="1" x14ac:dyDescent="0.25"/>
    <row r="14" spans="2:8" x14ac:dyDescent="0.25">
      <c r="E14" s="47" t="s">
        <v>62</v>
      </c>
      <c r="F14" s="47">
        <v>202111</v>
      </c>
    </row>
    <row r="15" spans="2:8" ht="14" x14ac:dyDescent="0.3">
      <c r="B15" s="20"/>
      <c r="C15" s="33"/>
      <c r="E15" s="47" t="s">
        <v>137</v>
      </c>
      <c r="F15" s="23"/>
    </row>
    <row r="16" spans="2:8" x14ac:dyDescent="0.25">
      <c r="B16" s="4"/>
      <c r="C16" s="4"/>
      <c r="E16" s="47" t="s">
        <v>172</v>
      </c>
      <c r="F16" s="47"/>
    </row>
    <row r="17" spans="2:13" x14ac:dyDescent="0.25">
      <c r="B17" s="4"/>
      <c r="C17" s="4"/>
      <c r="E17" s="47"/>
      <c r="F17" s="47"/>
    </row>
    <row r="18" spans="2:13" ht="17.25" customHeight="1" x14ac:dyDescent="0.25">
      <c r="B18" s="217" t="s">
        <v>173</v>
      </c>
      <c r="C18" s="217"/>
      <c r="D18" s="217"/>
      <c r="E18" s="217"/>
      <c r="F18" s="217"/>
    </row>
    <row r="19" spans="2:13" s="26" customFormat="1" ht="20.149999999999999" customHeight="1" x14ac:dyDescent="0.25">
      <c r="B19" s="24" t="s">
        <v>15</v>
      </c>
      <c r="C19" s="24"/>
      <c r="D19" s="24" t="s">
        <v>16</v>
      </c>
      <c r="E19" s="25" t="s">
        <v>17</v>
      </c>
      <c r="F19" s="29" t="s">
        <v>5</v>
      </c>
      <c r="M19" s="4"/>
    </row>
    <row r="20" spans="2:13" s="8" customFormat="1" ht="12.5" customHeight="1" x14ac:dyDescent="0.2">
      <c r="B20" s="220" t="s">
        <v>174</v>
      </c>
      <c r="C20" s="220" t="s">
        <v>64</v>
      </c>
      <c r="D20" s="50" t="s">
        <v>177</v>
      </c>
      <c r="E20" s="68" t="s">
        <v>32</v>
      </c>
      <c r="F20" s="67" t="s">
        <v>33</v>
      </c>
    </row>
    <row r="21" spans="2:13" x14ac:dyDescent="0.25">
      <c r="B21" s="221"/>
      <c r="C21" s="221"/>
      <c r="D21" s="54" t="s">
        <v>178</v>
      </c>
      <c r="E21" s="93" t="s">
        <v>34</v>
      </c>
      <c r="F21" s="32" t="s">
        <v>35</v>
      </c>
    </row>
    <row r="22" spans="2:13" x14ac:dyDescent="0.25">
      <c r="B22" s="221"/>
      <c r="C22" s="221"/>
      <c r="D22" s="54" t="s">
        <v>179</v>
      </c>
      <c r="E22" s="93" t="s">
        <v>34</v>
      </c>
      <c r="F22" s="32" t="s">
        <v>35</v>
      </c>
    </row>
    <row r="23" spans="2:13" x14ac:dyDescent="0.25">
      <c r="B23" s="59" t="s">
        <v>175</v>
      </c>
      <c r="C23" s="88"/>
      <c r="D23" s="99" t="s">
        <v>176</v>
      </c>
      <c r="E23" s="99" t="s">
        <v>131</v>
      </c>
      <c r="F23" s="100" t="s">
        <v>40</v>
      </c>
    </row>
    <row r="24" spans="2:13" ht="13" x14ac:dyDescent="0.25">
      <c r="B24" s="26"/>
      <c r="C24" s="26"/>
      <c r="D24" s="26"/>
      <c r="E24" s="64" t="s">
        <v>18</v>
      </c>
      <c r="F24" s="65" t="s">
        <v>180</v>
      </c>
    </row>
    <row r="25" spans="2:13" x14ac:dyDescent="0.25">
      <c r="B25" s="4"/>
      <c r="C25" s="4"/>
    </row>
    <row r="27" spans="2:13" x14ac:dyDescent="0.25">
      <c r="B27" s="8" t="s">
        <v>22</v>
      </c>
      <c r="C27" s="8"/>
      <c r="D27" s="8" t="s">
        <v>23</v>
      </c>
      <c r="E27" s="8"/>
      <c r="F27" s="8"/>
    </row>
  </sheetData>
  <mergeCells count="3">
    <mergeCell ref="B18:F18"/>
    <mergeCell ref="B20:B22"/>
    <mergeCell ref="C20:C22"/>
  </mergeCells>
  <hyperlinks>
    <hyperlink ref="F6" r:id="rId1" xr:uid="{6504E860-D58E-49B5-B1E9-BA39FFB84C8B}"/>
  </hyperlinks>
  <pageMargins left="0.88" right="0.57999999999999996" top="0.5" bottom="0.5" header="0.5" footer="0.5"/>
  <pageSetup paperSize="9" scale="80"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41E06-E826-4AAA-BDE0-7AA692FB41ED}">
  <sheetPr>
    <tabColor rgb="FF92D050"/>
    <pageSetUpPr fitToPage="1"/>
  </sheetPr>
  <dimension ref="B1:M26"/>
  <sheetViews>
    <sheetView showGridLines="0" topLeftCell="A10"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186</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187</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188</v>
      </c>
      <c r="C20" s="231" t="s">
        <v>197</v>
      </c>
      <c r="D20" s="41" t="s">
        <v>189</v>
      </c>
      <c r="E20" s="91" t="s">
        <v>191</v>
      </c>
      <c r="F20" s="90" t="s">
        <v>38</v>
      </c>
    </row>
    <row r="21" spans="2:13" ht="41.5" customHeight="1" x14ac:dyDescent="0.25">
      <c r="B21" s="225"/>
      <c r="C21" s="232"/>
      <c r="D21" s="35" t="s">
        <v>190</v>
      </c>
      <c r="E21" s="42" t="s">
        <v>192</v>
      </c>
      <c r="F21" s="31" t="s">
        <v>53</v>
      </c>
    </row>
    <row r="22" spans="2:13" ht="25" x14ac:dyDescent="0.25">
      <c r="B22" s="48" t="s">
        <v>193</v>
      </c>
      <c r="C22" s="42" t="s">
        <v>195</v>
      </c>
      <c r="D22" s="35" t="s">
        <v>189</v>
      </c>
      <c r="E22" s="36" t="s">
        <v>131</v>
      </c>
      <c r="F22" s="32" t="s">
        <v>194</v>
      </c>
    </row>
    <row r="23" spans="2:13" ht="15.5" customHeight="1" x14ac:dyDescent="0.25">
      <c r="B23" s="220" t="s">
        <v>196</v>
      </c>
      <c r="C23" s="223" t="s">
        <v>199</v>
      </c>
      <c r="D23" s="50" t="s">
        <v>200</v>
      </c>
      <c r="E23" s="92" t="s">
        <v>198</v>
      </c>
      <c r="F23" s="90" t="s">
        <v>80</v>
      </c>
    </row>
    <row r="24" spans="2:13" ht="25" customHeight="1" x14ac:dyDescent="0.25">
      <c r="B24" s="221"/>
      <c r="C24" s="224"/>
      <c r="D24" s="35" t="s">
        <v>201</v>
      </c>
      <c r="E24" s="46" t="s">
        <v>202</v>
      </c>
      <c r="F24" s="31" t="s">
        <v>80</v>
      </c>
    </row>
    <row r="25" spans="2:13" ht="25" x14ac:dyDescent="0.25">
      <c r="B25" s="59" t="s">
        <v>155</v>
      </c>
      <c r="C25" s="85" t="s">
        <v>203</v>
      </c>
      <c r="D25" s="35" t="s">
        <v>189</v>
      </c>
      <c r="E25" s="46" t="s">
        <v>204</v>
      </c>
      <c r="F25" s="31">
        <v>23.4</v>
      </c>
    </row>
    <row r="26" spans="2:13" ht="13" x14ac:dyDescent="0.25">
      <c r="B26" s="26"/>
      <c r="C26" s="26"/>
      <c r="D26" s="26"/>
      <c r="E26" s="64" t="s">
        <v>18</v>
      </c>
      <c r="F26" s="65">
        <v>823.4</v>
      </c>
    </row>
  </sheetData>
  <mergeCells count="6">
    <mergeCell ref="E14:F14"/>
    <mergeCell ref="B20:B21"/>
    <mergeCell ref="C20:C21"/>
    <mergeCell ref="B23:B24"/>
    <mergeCell ref="C23:C24"/>
    <mergeCell ref="B18:F18"/>
  </mergeCells>
  <hyperlinks>
    <hyperlink ref="F6" r:id="rId1" xr:uid="{9A3C7889-F2B9-44E5-BC32-E3FE709422FE}"/>
  </hyperlinks>
  <pageMargins left="0.88" right="0.57999999999999996" top="0.5" bottom="0.5" header="0.5" footer="0.5"/>
  <pageSetup paperSize="9" scale="73"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2D32-EBAB-48C2-B193-6CDC38A7CE82}">
  <sheetPr>
    <tabColor rgb="FF92D050"/>
    <pageSetUpPr fitToPage="1"/>
  </sheetPr>
  <dimension ref="B1:M36"/>
  <sheetViews>
    <sheetView showGridLines="0" topLeftCell="A22"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205</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187</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206</v>
      </c>
      <c r="C20" s="231" t="s">
        <v>207</v>
      </c>
      <c r="D20" s="41" t="s">
        <v>209</v>
      </c>
      <c r="E20" s="91" t="s">
        <v>210</v>
      </c>
      <c r="F20" s="90" t="s">
        <v>212</v>
      </c>
    </row>
    <row r="21" spans="2:13" ht="41.5" customHeight="1" x14ac:dyDescent="0.25">
      <c r="B21" s="225"/>
      <c r="C21" s="232"/>
      <c r="D21" s="35"/>
      <c r="E21" s="42" t="s">
        <v>211</v>
      </c>
      <c r="F21" s="31" t="s">
        <v>212</v>
      </c>
    </row>
    <row r="22" spans="2:13" ht="40.5" customHeight="1" x14ac:dyDescent="0.25">
      <c r="B22" s="48" t="s">
        <v>213</v>
      </c>
      <c r="C22" s="42" t="s">
        <v>214</v>
      </c>
      <c r="D22" s="35" t="s">
        <v>208</v>
      </c>
      <c r="E22" s="36" t="s">
        <v>225</v>
      </c>
      <c r="F22" s="32" t="s">
        <v>194</v>
      </c>
    </row>
    <row r="23" spans="2:13" ht="15.5" customHeight="1" x14ac:dyDescent="0.25">
      <c r="B23" s="220" t="s">
        <v>217</v>
      </c>
      <c r="C23" s="220" t="s">
        <v>215</v>
      </c>
      <c r="D23" s="50" t="s">
        <v>216</v>
      </c>
      <c r="E23" s="92" t="s">
        <v>218</v>
      </c>
      <c r="F23" s="90" t="s">
        <v>219</v>
      </c>
    </row>
    <row r="24" spans="2:13" ht="36.5" customHeight="1" x14ac:dyDescent="0.25">
      <c r="B24" s="222"/>
      <c r="C24" s="222"/>
      <c r="D24" s="35"/>
      <c r="E24" s="46"/>
      <c r="F24" s="32"/>
    </row>
    <row r="25" spans="2:13" ht="17.5" customHeight="1" x14ac:dyDescent="0.25">
      <c r="B25" s="220" t="s">
        <v>220</v>
      </c>
      <c r="C25" s="220" t="s">
        <v>221</v>
      </c>
      <c r="D25" s="50" t="s">
        <v>216</v>
      </c>
      <c r="E25" s="101" t="s">
        <v>223</v>
      </c>
      <c r="F25" s="90" t="s">
        <v>40</v>
      </c>
    </row>
    <row r="26" spans="2:13" ht="17.5" customHeight="1" x14ac:dyDescent="0.25">
      <c r="B26" s="221"/>
      <c r="C26" s="221"/>
      <c r="D26" s="54" t="s">
        <v>222</v>
      </c>
      <c r="E26" s="102" t="s">
        <v>239</v>
      </c>
      <c r="F26" s="32" t="s">
        <v>38</v>
      </c>
    </row>
    <row r="27" spans="2:13" ht="13" customHeight="1" x14ac:dyDescent="0.25">
      <c r="B27" s="221"/>
      <c r="C27" s="221"/>
      <c r="D27" s="54" t="s">
        <v>224</v>
      </c>
      <c r="E27" s="53"/>
      <c r="F27" s="32"/>
    </row>
    <row r="28" spans="2:13" ht="16.5" customHeight="1" x14ac:dyDescent="0.25">
      <c r="B28" s="220" t="s">
        <v>226</v>
      </c>
      <c r="C28" s="223" t="s">
        <v>227</v>
      </c>
      <c r="D28" s="50" t="s">
        <v>208</v>
      </c>
      <c r="E28" s="45" t="s">
        <v>210</v>
      </c>
      <c r="F28" s="90" t="s">
        <v>212</v>
      </c>
    </row>
    <row r="29" spans="2:13" ht="16.5" customHeight="1" x14ac:dyDescent="0.25">
      <c r="B29" s="221"/>
      <c r="C29" s="224"/>
      <c r="D29" s="54" t="s">
        <v>222</v>
      </c>
      <c r="E29" s="52" t="s">
        <v>228</v>
      </c>
      <c r="F29" s="32" t="s">
        <v>40</v>
      </c>
    </row>
    <row r="30" spans="2:13" ht="6.5" customHeight="1" x14ac:dyDescent="0.25">
      <c r="B30" s="222"/>
      <c r="C30" s="225"/>
      <c r="D30" s="54"/>
      <c r="E30" s="52"/>
      <c r="F30" s="32"/>
    </row>
    <row r="31" spans="2:13" ht="15" customHeight="1" x14ac:dyDescent="0.25">
      <c r="B31" s="220" t="s">
        <v>229</v>
      </c>
      <c r="C31" s="223" t="s">
        <v>230</v>
      </c>
      <c r="D31" s="50" t="s">
        <v>208</v>
      </c>
      <c r="E31" s="45" t="s">
        <v>232</v>
      </c>
      <c r="F31" s="90" t="s">
        <v>233</v>
      </c>
    </row>
    <row r="32" spans="2:13" ht="15" customHeight="1" x14ac:dyDescent="0.25">
      <c r="B32" s="222"/>
      <c r="C32" s="225"/>
      <c r="D32" s="54" t="s">
        <v>231</v>
      </c>
      <c r="E32" s="52"/>
      <c r="F32" s="32"/>
    </row>
    <row r="33" spans="2:6" ht="15" customHeight="1" x14ac:dyDescent="0.25">
      <c r="B33" s="220" t="s">
        <v>235</v>
      </c>
      <c r="C33" s="223" t="s">
        <v>234</v>
      </c>
      <c r="D33" s="50" t="s">
        <v>208</v>
      </c>
      <c r="E33" s="45" t="s">
        <v>240</v>
      </c>
      <c r="F33" s="90" t="s">
        <v>237</v>
      </c>
    </row>
    <row r="34" spans="2:6" ht="15" customHeight="1" x14ac:dyDescent="0.25">
      <c r="B34" s="222"/>
      <c r="C34" s="225"/>
      <c r="D34" s="35" t="s">
        <v>236</v>
      </c>
      <c r="E34" s="46"/>
      <c r="F34" s="31"/>
    </row>
    <row r="35" spans="2:6" ht="25" x14ac:dyDescent="0.25">
      <c r="B35" s="59" t="s">
        <v>238</v>
      </c>
      <c r="C35" s="85" t="s">
        <v>203</v>
      </c>
      <c r="D35" s="35" t="s">
        <v>189</v>
      </c>
      <c r="E35" s="46" t="s">
        <v>204</v>
      </c>
      <c r="F35" s="31">
        <v>23.4</v>
      </c>
    </row>
    <row r="36" spans="2:6" ht="13" x14ac:dyDescent="0.25">
      <c r="B36" s="26"/>
      <c r="C36" s="26"/>
      <c r="D36" s="26"/>
      <c r="E36" s="64" t="s">
        <v>18</v>
      </c>
      <c r="F36" s="65">
        <v>763.4</v>
      </c>
    </row>
  </sheetData>
  <mergeCells count="14">
    <mergeCell ref="E14:F14"/>
    <mergeCell ref="B18:F18"/>
    <mergeCell ref="B20:B21"/>
    <mergeCell ref="C20:C21"/>
    <mergeCell ref="B23:B24"/>
    <mergeCell ref="C23:C24"/>
    <mergeCell ref="B33:B34"/>
    <mergeCell ref="C33:C34"/>
    <mergeCell ref="B25:B27"/>
    <mergeCell ref="C25:C27"/>
    <mergeCell ref="B28:B30"/>
    <mergeCell ref="C28:C30"/>
    <mergeCell ref="B31:B32"/>
    <mergeCell ref="C31:C32"/>
  </mergeCells>
  <hyperlinks>
    <hyperlink ref="F6" r:id="rId1" xr:uid="{3F34B678-4A83-49BA-BCC0-B8EBEA326664}"/>
  </hyperlinks>
  <pageMargins left="0.88" right="0.57999999999999996" top="0.5" bottom="0.5" header="0.5" footer="0.5"/>
  <pageSetup paperSize="9" scale="73"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DB40-1DB5-4F17-A151-4704AE5FBA79}">
  <sheetPr>
    <tabColor rgb="FF92D050"/>
    <pageSetUpPr fitToPage="1"/>
  </sheetPr>
  <dimension ref="B1:M25"/>
  <sheetViews>
    <sheetView showGridLines="0" topLeftCell="A10"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241</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268</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152</v>
      </c>
      <c r="C20" s="231" t="s">
        <v>242</v>
      </c>
      <c r="D20" s="41" t="s">
        <v>49</v>
      </c>
      <c r="E20" s="91" t="s">
        <v>131</v>
      </c>
      <c r="F20" s="90" t="s">
        <v>185</v>
      </c>
    </row>
    <row r="21" spans="2:13" ht="17" customHeight="1" x14ac:dyDescent="0.25">
      <c r="B21" s="225"/>
      <c r="C21" s="232"/>
      <c r="D21" s="54"/>
      <c r="E21" s="36" t="s">
        <v>19</v>
      </c>
      <c r="F21" s="32"/>
    </row>
    <row r="22" spans="2:13" ht="14" customHeight="1" x14ac:dyDescent="0.25">
      <c r="B22" s="220" t="s">
        <v>243</v>
      </c>
      <c r="C22" s="223" t="s">
        <v>244</v>
      </c>
      <c r="D22" s="50" t="s">
        <v>245</v>
      </c>
      <c r="E22" s="41" t="s">
        <v>248</v>
      </c>
      <c r="F22" s="90" t="s">
        <v>247</v>
      </c>
    </row>
    <row r="23" spans="2:13" ht="15.5" customHeight="1" x14ac:dyDescent="0.25">
      <c r="B23" s="221"/>
      <c r="C23" s="224"/>
      <c r="D23" s="54" t="s">
        <v>246</v>
      </c>
      <c r="E23" s="55" t="s">
        <v>249</v>
      </c>
      <c r="F23" s="32" t="s">
        <v>247</v>
      </c>
    </row>
    <row r="24" spans="2:13" ht="25" customHeight="1" x14ac:dyDescent="0.25">
      <c r="B24" s="222"/>
      <c r="C24" s="225"/>
      <c r="D24" s="35"/>
      <c r="E24" s="46"/>
      <c r="F24" s="31"/>
    </row>
    <row r="25" spans="2:13" ht="13" x14ac:dyDescent="0.25">
      <c r="B25" s="26"/>
      <c r="C25" s="26"/>
      <c r="D25" s="26"/>
      <c r="E25" s="64" t="s">
        <v>18</v>
      </c>
      <c r="F25" s="65">
        <v>480</v>
      </c>
    </row>
  </sheetData>
  <mergeCells count="6">
    <mergeCell ref="E14:F14"/>
    <mergeCell ref="B18:F18"/>
    <mergeCell ref="B20:B21"/>
    <mergeCell ref="C20:C21"/>
    <mergeCell ref="B22:B24"/>
    <mergeCell ref="C22:C24"/>
  </mergeCells>
  <hyperlinks>
    <hyperlink ref="F6" r:id="rId1" xr:uid="{74A75481-9385-4186-AA06-9EDECCF4B52A}"/>
  </hyperlinks>
  <pageMargins left="0.88" right="0.57999999999999996" top="0.5" bottom="0.5" header="0.5" footer="0.5"/>
  <pageSetup paperSize="9" scale="73"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F3AF-CBFA-489E-B05B-79ABB1A4A013}">
  <sheetPr>
    <tabColor rgb="FF92D050"/>
    <pageSetUpPr fitToPage="1"/>
  </sheetPr>
  <dimension ref="B1:M23"/>
  <sheetViews>
    <sheetView showGridLines="0" topLeftCell="A13"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254</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250</v>
      </c>
      <c r="C18" s="218"/>
      <c r="D18" s="218"/>
      <c r="E18" s="218"/>
      <c r="F18" s="218"/>
    </row>
    <row r="19" spans="2:13" s="26" customFormat="1" ht="18.5" customHeight="1" x14ac:dyDescent="0.25">
      <c r="B19" s="24" t="s">
        <v>15</v>
      </c>
      <c r="C19" s="24"/>
      <c r="D19" s="24" t="s">
        <v>16</v>
      </c>
      <c r="E19" s="25" t="s">
        <v>17</v>
      </c>
      <c r="F19" s="29" t="s">
        <v>5</v>
      </c>
      <c r="M19" s="4"/>
    </row>
    <row r="20" spans="2:13" ht="14" customHeight="1" x14ac:dyDescent="0.25">
      <c r="B20" s="220" t="s">
        <v>252</v>
      </c>
      <c r="C20" s="223" t="s">
        <v>251</v>
      </c>
      <c r="D20" s="50" t="s">
        <v>253</v>
      </c>
      <c r="E20" s="41" t="s">
        <v>248</v>
      </c>
      <c r="F20" s="90" t="s">
        <v>247</v>
      </c>
    </row>
    <row r="21" spans="2:13" ht="15.5" customHeight="1" x14ac:dyDescent="0.25">
      <c r="B21" s="221"/>
      <c r="C21" s="224"/>
      <c r="D21" s="54" t="s">
        <v>246</v>
      </c>
      <c r="E21" s="55" t="s">
        <v>249</v>
      </c>
      <c r="F21" s="32" t="s">
        <v>247</v>
      </c>
    </row>
    <row r="22" spans="2:13" ht="12" customHeight="1" x14ac:dyDescent="0.25">
      <c r="B22" s="222"/>
      <c r="C22" s="225"/>
      <c r="D22" s="35"/>
      <c r="E22" s="46"/>
      <c r="F22" s="31"/>
    </row>
    <row r="23" spans="2:13" ht="13" x14ac:dyDescent="0.25">
      <c r="B23" s="26"/>
      <c r="C23" s="26"/>
      <c r="D23" s="26"/>
      <c r="E23" s="64" t="s">
        <v>18</v>
      </c>
      <c r="F23" s="65">
        <v>480</v>
      </c>
    </row>
  </sheetData>
  <mergeCells count="4">
    <mergeCell ref="E14:F14"/>
    <mergeCell ref="B18:F18"/>
    <mergeCell ref="B20:B22"/>
    <mergeCell ref="C20:C22"/>
  </mergeCells>
  <hyperlinks>
    <hyperlink ref="F6" r:id="rId1" xr:uid="{B7807097-75F9-499D-BF47-A05295D2B52B}"/>
  </hyperlinks>
  <pageMargins left="0.88" right="0.57999999999999996" top="0.5" bottom="0.5" header="0.5" footer="0.5"/>
  <pageSetup paperSize="9" scale="73"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7137-4F06-473B-B80A-73177A669C7C}">
  <sheetPr>
    <tabColor rgb="FF92D050"/>
    <pageSetUpPr fitToPage="1"/>
  </sheetPr>
  <dimension ref="B1:M23"/>
  <sheetViews>
    <sheetView showGridLines="0" topLeftCell="A11"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256</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255</v>
      </c>
      <c r="C18" s="218"/>
      <c r="D18" s="218"/>
      <c r="E18" s="218"/>
      <c r="F18" s="218"/>
    </row>
    <row r="19" spans="2:13" s="26" customFormat="1" ht="18.5" customHeight="1" x14ac:dyDescent="0.25">
      <c r="B19" s="24" t="s">
        <v>15</v>
      </c>
      <c r="C19" s="24"/>
      <c r="D19" s="24" t="s">
        <v>16</v>
      </c>
      <c r="E19" s="25" t="s">
        <v>17</v>
      </c>
      <c r="F19" s="29" t="s">
        <v>5</v>
      </c>
      <c r="M19" s="4"/>
    </row>
    <row r="20" spans="2:13" ht="14" customHeight="1" x14ac:dyDescent="0.25">
      <c r="B20" s="220" t="s">
        <v>257</v>
      </c>
      <c r="C20" s="223" t="s">
        <v>262</v>
      </c>
      <c r="D20" s="50" t="s">
        <v>258</v>
      </c>
      <c r="E20" s="41" t="s">
        <v>210</v>
      </c>
      <c r="F20" s="90" t="s">
        <v>260</v>
      </c>
    </row>
    <row r="21" spans="2:13" ht="15.5" customHeight="1" x14ac:dyDescent="0.25">
      <c r="B21" s="221"/>
      <c r="C21" s="224"/>
      <c r="D21" s="54"/>
      <c r="E21" s="55" t="s">
        <v>259</v>
      </c>
      <c r="F21" s="32" t="s">
        <v>260</v>
      </c>
    </row>
    <row r="22" spans="2:13" ht="24.5" customHeight="1" x14ac:dyDescent="0.25">
      <c r="B22" s="222"/>
      <c r="C22" s="225"/>
      <c r="D22" s="35"/>
      <c r="E22" s="46"/>
      <c r="F22" s="31"/>
    </row>
    <row r="23" spans="2:13" ht="13" x14ac:dyDescent="0.25">
      <c r="B23" s="26"/>
      <c r="C23" s="26"/>
      <c r="D23" s="26"/>
      <c r="E23" s="64" t="s">
        <v>18</v>
      </c>
      <c r="F23" s="65">
        <v>160</v>
      </c>
    </row>
  </sheetData>
  <mergeCells count="4">
    <mergeCell ref="E14:F14"/>
    <mergeCell ref="B18:F18"/>
    <mergeCell ref="B20:B22"/>
    <mergeCell ref="C20:C22"/>
  </mergeCells>
  <hyperlinks>
    <hyperlink ref="F6" r:id="rId1" xr:uid="{A5562F26-D34E-4180-930E-4308FE644D52}"/>
  </hyperlinks>
  <pageMargins left="0.88" right="0.57999999999999996" top="0.5" bottom="0.5" header="0.5" footer="0.5"/>
  <pageSetup paperSize="9" scale="73"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5B43-7C5B-4A06-8DC4-42EAD04B0486}">
  <sheetPr>
    <tabColor rgb="FF92D050"/>
    <pageSetUpPr fitToPage="1"/>
  </sheetPr>
  <dimension ref="B1:M23"/>
  <sheetViews>
    <sheetView showGridLines="0" topLeftCell="A12"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266</v>
      </c>
      <c r="F14" s="216"/>
    </row>
    <row r="15" spans="2:8" ht="14" x14ac:dyDescent="0.3">
      <c r="B15" s="20"/>
      <c r="C15" s="33"/>
      <c r="E15" s="47" t="s">
        <v>137</v>
      </c>
      <c r="F15" s="23"/>
    </row>
    <row r="16" spans="2:8" x14ac:dyDescent="0.25">
      <c r="B16" s="4"/>
      <c r="C16" s="4"/>
      <c r="E16" s="47" t="s">
        <v>184</v>
      </c>
      <c r="F16" s="47"/>
    </row>
    <row r="17" spans="2:13" x14ac:dyDescent="0.25">
      <c r="B17" s="4"/>
      <c r="C17" s="4"/>
      <c r="E17" s="47"/>
      <c r="F17" s="47"/>
    </row>
    <row r="18" spans="2:13" ht="17.25" customHeight="1" x14ac:dyDescent="0.25">
      <c r="B18" s="217" t="s">
        <v>265</v>
      </c>
      <c r="C18" s="218"/>
      <c r="D18" s="218"/>
      <c r="E18" s="218"/>
      <c r="F18" s="218"/>
    </row>
    <row r="19" spans="2:13" s="26" customFormat="1" ht="18.5" customHeight="1" x14ac:dyDescent="0.25">
      <c r="B19" s="24" t="s">
        <v>15</v>
      </c>
      <c r="C19" s="24"/>
      <c r="D19" s="24" t="s">
        <v>16</v>
      </c>
      <c r="E19" s="25" t="s">
        <v>17</v>
      </c>
      <c r="F19" s="29" t="s">
        <v>5</v>
      </c>
      <c r="M19" s="4"/>
    </row>
    <row r="20" spans="2:13" ht="14" customHeight="1" x14ac:dyDescent="0.25">
      <c r="B20" s="220" t="s">
        <v>261</v>
      </c>
      <c r="C20" s="223" t="s">
        <v>263</v>
      </c>
      <c r="D20" s="50" t="s">
        <v>264</v>
      </c>
      <c r="E20" s="41"/>
      <c r="F20" s="90">
        <v>30.25</v>
      </c>
    </row>
    <row r="21" spans="2:13" ht="15.5" customHeight="1" x14ac:dyDescent="0.25">
      <c r="B21" s="221"/>
      <c r="C21" s="224"/>
      <c r="D21" s="54"/>
      <c r="E21" s="55"/>
      <c r="F21" s="32"/>
    </row>
    <row r="22" spans="2:13" ht="24.5" customHeight="1" x14ac:dyDescent="0.25">
      <c r="B22" s="222"/>
      <c r="C22" s="225"/>
      <c r="D22" s="35"/>
      <c r="E22" s="46"/>
      <c r="F22" s="31"/>
    </row>
    <row r="23" spans="2:13" ht="13" x14ac:dyDescent="0.25">
      <c r="B23" s="26"/>
      <c r="C23" s="26"/>
      <c r="D23" s="26"/>
      <c r="E23" s="64" t="s">
        <v>18</v>
      </c>
      <c r="F23" s="65">
        <v>30.25</v>
      </c>
    </row>
  </sheetData>
  <mergeCells count="4">
    <mergeCell ref="E14:F14"/>
    <mergeCell ref="B18:F18"/>
    <mergeCell ref="C20:C22"/>
    <mergeCell ref="B20:B22"/>
  </mergeCells>
  <hyperlinks>
    <hyperlink ref="F6" r:id="rId1" xr:uid="{DFF61573-0115-4088-9127-74232ACA0616}"/>
  </hyperlinks>
  <pageMargins left="0.88" right="0.57999999999999996" top="0.5" bottom="0.5" header="0.5" footer="0.5"/>
  <pageSetup paperSize="9" scale="73"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9CE2-D684-47CB-82BB-3C814008EFB7}">
  <sheetPr>
    <tabColor rgb="FF92D050"/>
    <pageSetUpPr fitToPage="1"/>
  </sheetPr>
  <dimension ref="B1:M35"/>
  <sheetViews>
    <sheetView showGridLines="0" topLeftCell="A1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 t="s">
        <v>26</v>
      </c>
      <c r="C8" s="20"/>
      <c r="F8" s="21"/>
      <c r="H8" s="13"/>
    </row>
    <row r="9" spans="2:8" ht="13.5" customHeight="1" x14ac:dyDescent="0.3">
      <c r="B9" s="49" t="s">
        <v>27</v>
      </c>
      <c r="C9" s="20"/>
      <c r="E9" s="22"/>
      <c r="F9" s="37"/>
    </row>
    <row r="10" spans="2:8" ht="13.5" customHeight="1" x14ac:dyDescent="0.3">
      <c r="B10" s="49" t="s">
        <v>28</v>
      </c>
      <c r="C10" s="20"/>
      <c r="E10" s="22"/>
      <c r="F10" s="37"/>
    </row>
    <row r="11" spans="2:8" ht="13.5" customHeight="1" x14ac:dyDescent="0.3">
      <c r="B11" s="49" t="s">
        <v>29</v>
      </c>
      <c r="C11" s="20"/>
    </row>
    <row r="12" spans="2:8" ht="13.5" customHeight="1" x14ac:dyDescent="0.3">
      <c r="C12" s="20"/>
    </row>
    <row r="13" spans="2:8" ht="13.5" customHeight="1" x14ac:dyDescent="0.25"/>
    <row r="14" spans="2:8" x14ac:dyDescent="0.25">
      <c r="E14" s="216" t="s">
        <v>303</v>
      </c>
      <c r="F14" s="216"/>
    </row>
    <row r="15" spans="2:8" ht="14" x14ac:dyDescent="0.3">
      <c r="B15" s="20"/>
      <c r="C15" s="33"/>
      <c r="E15" s="103" t="s">
        <v>316</v>
      </c>
      <c r="F15" s="23"/>
    </row>
    <row r="16" spans="2:8" x14ac:dyDescent="0.25">
      <c r="B16" s="4"/>
      <c r="C16" s="4"/>
      <c r="E16" s="103" t="s">
        <v>30</v>
      </c>
      <c r="F16" s="103"/>
    </row>
    <row r="17" spans="2:13" x14ac:dyDescent="0.25">
      <c r="B17" s="4"/>
      <c r="C17" s="4"/>
      <c r="E17" s="103"/>
      <c r="F17" s="103"/>
    </row>
    <row r="18" spans="2:13" ht="17.25" customHeight="1" x14ac:dyDescent="0.25">
      <c r="B18" s="217" t="s">
        <v>295</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3.5" customHeight="1" x14ac:dyDescent="0.25">
      <c r="B20" s="220" t="s">
        <v>44</v>
      </c>
      <c r="C20" s="223" t="s">
        <v>42</v>
      </c>
      <c r="D20" s="50" t="s">
        <v>90</v>
      </c>
      <c r="E20" s="104" t="s">
        <v>32</v>
      </c>
      <c r="F20" s="51" t="s">
        <v>33</v>
      </c>
      <c r="M20" s="4"/>
    </row>
    <row r="21" spans="2:13" s="26" customFormat="1" ht="14" customHeight="1" x14ac:dyDescent="0.25">
      <c r="B21" s="221"/>
      <c r="C21" s="224"/>
      <c r="D21" s="54" t="s">
        <v>301</v>
      </c>
      <c r="E21" s="55" t="s">
        <v>34</v>
      </c>
      <c r="F21" s="56" t="s">
        <v>35</v>
      </c>
      <c r="M21" s="4"/>
    </row>
    <row r="22" spans="2:13" s="26" customFormat="1" ht="13.5" customHeight="1" x14ac:dyDescent="0.25">
      <c r="B22" s="221"/>
      <c r="C22" s="224"/>
      <c r="D22" s="61" t="s">
        <v>302</v>
      </c>
      <c r="E22" s="57" t="s">
        <v>34</v>
      </c>
      <c r="F22" s="56" t="s">
        <v>35</v>
      </c>
      <c r="M22" s="4"/>
    </row>
    <row r="23" spans="2:13" s="26" customFormat="1" ht="14" customHeight="1" x14ac:dyDescent="0.25">
      <c r="B23" s="222"/>
      <c r="C23" s="225"/>
      <c r="D23" s="57" t="s">
        <v>36</v>
      </c>
      <c r="E23" s="57" t="s">
        <v>299</v>
      </c>
      <c r="F23" s="56" t="s">
        <v>300</v>
      </c>
      <c r="M23" s="4"/>
    </row>
    <row r="24" spans="2:13" s="26" customFormat="1" ht="44.5" customHeight="1" x14ac:dyDescent="0.25">
      <c r="B24" s="105" t="s">
        <v>296</v>
      </c>
      <c r="C24" s="106" t="s">
        <v>297</v>
      </c>
      <c r="D24" s="62" t="s">
        <v>298</v>
      </c>
      <c r="E24" s="62" t="s">
        <v>34</v>
      </c>
      <c r="F24" s="63" t="s">
        <v>40</v>
      </c>
      <c r="M24" s="4"/>
    </row>
    <row r="25" spans="2:13" ht="13.5" customHeight="1" x14ac:dyDescent="0.25">
      <c r="B25" s="26"/>
      <c r="C25" s="26"/>
      <c r="D25" s="26"/>
      <c r="E25" s="64" t="s">
        <v>18</v>
      </c>
      <c r="F25" s="118" t="s">
        <v>391</v>
      </c>
    </row>
    <row r="26" spans="2:13" ht="12.75" customHeight="1" x14ac:dyDescent="0.25">
      <c r="B26" s="219" t="s">
        <v>19</v>
      </c>
      <c r="C26" s="219"/>
      <c r="D26" s="219"/>
      <c r="E26" s="219"/>
      <c r="F26" s="26"/>
    </row>
    <row r="27" spans="2:13" x14ac:dyDescent="0.25">
      <c r="B27" s="219"/>
      <c r="C27" s="219"/>
      <c r="D27" s="219"/>
      <c r="E27" s="219"/>
      <c r="F27" s="26"/>
    </row>
    <row r="28" spans="2:13" s="8" customFormat="1" x14ac:dyDescent="0.25">
      <c r="B28"/>
      <c r="C28"/>
      <c r="D28"/>
      <c r="E28"/>
      <c r="F28"/>
    </row>
    <row r="30" spans="2:13" x14ac:dyDescent="0.25">
      <c r="B30" s="8" t="s">
        <v>20</v>
      </c>
      <c r="C30" s="8"/>
    </row>
    <row r="31" spans="2:13" x14ac:dyDescent="0.25">
      <c r="B31" s="8" t="s">
        <v>21</v>
      </c>
      <c r="C31" s="8"/>
    </row>
    <row r="32" spans="2:13" x14ac:dyDescent="0.25">
      <c r="B32" s="8"/>
      <c r="C32" s="8"/>
    </row>
    <row r="33" spans="2:6" x14ac:dyDescent="0.25">
      <c r="B33" s="4"/>
      <c r="C33" s="4"/>
    </row>
    <row r="35" spans="2:6" x14ac:dyDescent="0.25">
      <c r="B35" s="8" t="s">
        <v>22</v>
      </c>
      <c r="C35" s="8"/>
      <c r="D35" s="8" t="s">
        <v>23</v>
      </c>
      <c r="E35" s="8"/>
      <c r="F35" s="8"/>
    </row>
  </sheetData>
  <mergeCells count="5">
    <mergeCell ref="E14:F14"/>
    <mergeCell ref="B18:F18"/>
    <mergeCell ref="B20:B23"/>
    <mergeCell ref="C20:C23"/>
    <mergeCell ref="B26:E27"/>
  </mergeCells>
  <hyperlinks>
    <hyperlink ref="F6" r:id="rId1" xr:uid="{4B6B6F82-A004-4C9C-BBEA-70B9BC430159}"/>
  </hyperlinks>
  <pageMargins left="0.88" right="0.57999999999999996" top="0.5" bottom="0.5" header="0.5" footer="0.5"/>
  <pageSetup paperSize="9" scale="81"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E531-608E-47A2-A854-78FC3B98457E}">
  <sheetPr>
    <tabColor rgb="FF92D050"/>
    <pageSetUpPr fitToPage="1"/>
  </sheetPr>
  <dimension ref="B1:M36"/>
  <sheetViews>
    <sheetView showGridLines="0" topLeftCell="A3" zoomScaleNormal="100" workbookViewId="0">
      <selection activeCell="B8" sqref="B8:C1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103" t="s">
        <v>62</v>
      </c>
      <c r="F14" s="103">
        <v>202119</v>
      </c>
    </row>
    <row r="15" spans="2:8" ht="14" x14ac:dyDescent="0.3">
      <c r="B15" s="20"/>
      <c r="C15" s="20"/>
      <c r="E15" s="103" t="s">
        <v>317</v>
      </c>
      <c r="F15" s="23"/>
    </row>
    <row r="16" spans="2:8" x14ac:dyDescent="0.25">
      <c r="B16" s="4"/>
      <c r="C16" s="4"/>
      <c r="E16" s="103" t="s">
        <v>72</v>
      </c>
      <c r="F16" s="103"/>
    </row>
    <row r="17" spans="2:13" x14ac:dyDescent="0.25">
      <c r="B17" s="4"/>
      <c r="C17" s="4"/>
      <c r="E17" s="103"/>
      <c r="F17" s="103"/>
    </row>
    <row r="18" spans="2:13" ht="17.25" customHeight="1" x14ac:dyDescent="0.25">
      <c r="B18" s="217" t="s">
        <v>304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220" t="s">
        <v>305</v>
      </c>
      <c r="C20" s="220" t="s">
        <v>306</v>
      </c>
      <c r="D20" s="50" t="s">
        <v>308</v>
      </c>
      <c r="E20" s="71" t="s">
        <v>34</v>
      </c>
      <c r="F20" s="67" t="s">
        <v>35</v>
      </c>
      <c r="M20" s="4"/>
    </row>
    <row r="21" spans="2:13" s="26" customFormat="1" ht="16.5" customHeight="1" x14ac:dyDescent="0.25">
      <c r="B21" s="221"/>
      <c r="C21" s="221"/>
      <c r="D21" s="72" t="s">
        <v>309</v>
      </c>
      <c r="E21" s="73" t="s">
        <v>34</v>
      </c>
      <c r="F21" s="81" t="s">
        <v>35</v>
      </c>
      <c r="M21" s="4"/>
    </row>
    <row r="22" spans="2:13" s="26" customFormat="1" ht="16.5" customHeight="1" x14ac:dyDescent="0.25">
      <c r="B22" s="221"/>
      <c r="C22" s="221"/>
      <c r="D22" s="72" t="s">
        <v>310</v>
      </c>
      <c r="E22" s="73" t="s">
        <v>34</v>
      </c>
      <c r="F22" s="81" t="s">
        <v>35</v>
      </c>
      <c r="M22" s="4"/>
    </row>
    <row r="23" spans="2:13" s="26" customFormat="1" ht="16.5" customHeight="1" x14ac:dyDescent="0.25">
      <c r="B23" s="221"/>
      <c r="C23" s="221"/>
      <c r="D23" s="72" t="s">
        <v>311</v>
      </c>
      <c r="E23" s="73" t="s">
        <v>34</v>
      </c>
      <c r="F23" s="81" t="s">
        <v>35</v>
      </c>
      <c r="M23" s="4"/>
    </row>
    <row r="24" spans="2:13" s="26" customFormat="1" ht="15" customHeight="1" x14ac:dyDescent="0.25">
      <c r="B24" s="221"/>
      <c r="C24" s="221"/>
      <c r="D24" s="54" t="s">
        <v>312</v>
      </c>
      <c r="E24" s="73" t="s">
        <v>34</v>
      </c>
      <c r="F24" s="81" t="s">
        <v>35</v>
      </c>
      <c r="M24" s="4"/>
    </row>
    <row r="25" spans="2:13" s="26" customFormat="1" ht="27.5" customHeight="1" x14ac:dyDescent="0.25">
      <c r="B25" s="59" t="s">
        <v>75</v>
      </c>
      <c r="C25" s="75" t="s">
        <v>307</v>
      </c>
      <c r="D25" s="77" t="s">
        <v>325</v>
      </c>
      <c r="E25" s="76" t="s">
        <v>34</v>
      </c>
      <c r="F25" s="82" t="s">
        <v>35</v>
      </c>
      <c r="M25" s="4"/>
    </row>
    <row r="26" spans="2:13" ht="13.5" customHeight="1" x14ac:dyDescent="0.25">
      <c r="B26" s="26"/>
      <c r="C26" s="26"/>
      <c r="D26" s="26"/>
      <c r="E26" s="64" t="s">
        <v>18</v>
      </c>
      <c r="F26" s="65" t="s">
        <v>313</v>
      </c>
    </row>
    <row r="27" spans="2:13" ht="12.75" customHeight="1" x14ac:dyDescent="0.25">
      <c r="B27" s="219" t="s">
        <v>19</v>
      </c>
      <c r="C27" s="219"/>
      <c r="D27" s="219"/>
      <c r="E27" s="219"/>
      <c r="F27" s="26"/>
    </row>
    <row r="28" spans="2:13" x14ac:dyDescent="0.25">
      <c r="B28" s="219"/>
      <c r="C28" s="219"/>
      <c r="D28" s="219"/>
      <c r="E28" s="219"/>
      <c r="F28" s="26"/>
    </row>
    <row r="29" spans="2:13" s="8" customFormat="1" x14ac:dyDescent="0.25">
      <c r="B29"/>
      <c r="C29"/>
      <c r="D29"/>
      <c r="E29"/>
      <c r="F29"/>
    </row>
    <row r="31" spans="2:13" x14ac:dyDescent="0.25">
      <c r="B31" s="8" t="s">
        <v>20</v>
      </c>
      <c r="C31" s="8"/>
    </row>
    <row r="32" spans="2:13" x14ac:dyDescent="0.25">
      <c r="B32" s="8" t="s">
        <v>21</v>
      </c>
      <c r="C32" s="8"/>
    </row>
    <row r="33" spans="2:6" x14ac:dyDescent="0.25">
      <c r="B33" s="8"/>
      <c r="C33" s="8"/>
    </row>
    <row r="34" spans="2:6" x14ac:dyDescent="0.25">
      <c r="B34" s="4"/>
      <c r="C34" s="4"/>
    </row>
    <row r="36" spans="2:6" x14ac:dyDescent="0.25">
      <c r="B36" s="8" t="s">
        <v>22</v>
      </c>
      <c r="C36" s="8"/>
      <c r="D36" s="8" t="s">
        <v>23</v>
      </c>
      <c r="E36" s="8"/>
      <c r="F36" s="8"/>
    </row>
  </sheetData>
  <mergeCells count="4">
    <mergeCell ref="B18:F18"/>
    <mergeCell ref="B20:B24"/>
    <mergeCell ref="C20:C24"/>
    <mergeCell ref="B27:E28"/>
  </mergeCells>
  <hyperlinks>
    <hyperlink ref="F6" r:id="rId1" xr:uid="{D999B729-9F2F-4EB8-99C0-3121D174DAEC}"/>
  </hyperlinks>
  <pageMargins left="0.88" right="0.57999999999999996" top="0.5" bottom="0.5" header="0.5" footer="0.5"/>
  <pageSetup paperSize="9" scale="81"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A187-5B64-4A33-A556-29D2F9F0D4CA}">
  <sheetPr>
    <tabColor rgb="FF92D050"/>
    <pageSetUpPr fitToPage="1"/>
  </sheetPr>
  <dimension ref="B1:M33"/>
  <sheetViews>
    <sheetView showGridLines="0" topLeftCell="A9" zoomScaleNormal="100" workbookViewId="0">
      <selection activeCell="C37" sqref="C3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107" t="s">
        <v>62</v>
      </c>
      <c r="F14" s="107">
        <v>202120</v>
      </c>
    </row>
    <row r="15" spans="2:8" ht="14" x14ac:dyDescent="0.3">
      <c r="B15" s="20"/>
      <c r="C15" s="20"/>
      <c r="E15" s="107" t="s">
        <v>316</v>
      </c>
      <c r="F15" s="23"/>
    </row>
    <row r="16" spans="2:8" x14ac:dyDescent="0.25">
      <c r="B16" s="4"/>
      <c r="C16" s="4"/>
      <c r="E16" s="107" t="s">
        <v>72</v>
      </c>
      <c r="F16" s="107"/>
    </row>
    <row r="17" spans="2:13" x14ac:dyDescent="0.25">
      <c r="B17" s="4"/>
      <c r="C17" s="4"/>
      <c r="E17" s="107"/>
      <c r="F17" s="107"/>
    </row>
    <row r="18" spans="2:13" ht="17.25" customHeight="1" x14ac:dyDescent="0.25">
      <c r="B18" s="217" t="s">
        <v>314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6.5" customHeight="1" x14ac:dyDescent="0.25">
      <c r="B20" s="220" t="s">
        <v>315</v>
      </c>
      <c r="C20" s="223" t="s">
        <v>73</v>
      </c>
      <c r="D20" s="220" t="s">
        <v>309</v>
      </c>
      <c r="E20" s="220" t="s">
        <v>34</v>
      </c>
      <c r="F20" s="226">
        <v>120</v>
      </c>
      <c r="M20" s="4"/>
    </row>
    <row r="21" spans="2:13" s="26" customFormat="1" ht="4.5" customHeight="1" x14ac:dyDescent="0.25">
      <c r="B21" s="221"/>
      <c r="C21" s="224"/>
      <c r="D21" s="221"/>
      <c r="E21" s="221"/>
      <c r="F21" s="227"/>
      <c r="M21" s="4"/>
    </row>
    <row r="22" spans="2:13" s="26" customFormat="1" ht="18" customHeight="1" x14ac:dyDescent="0.25">
      <c r="B22" s="222"/>
      <c r="C22" s="225"/>
      <c r="D22" s="78" t="s">
        <v>312</v>
      </c>
      <c r="E22" s="79" t="s">
        <v>34</v>
      </c>
      <c r="F22" s="80">
        <v>120</v>
      </c>
      <c r="M22" s="4"/>
    </row>
    <row r="23" spans="2:13" ht="13.5" customHeight="1" x14ac:dyDescent="0.25">
      <c r="B23" s="26"/>
      <c r="C23" s="26"/>
      <c r="D23" s="26"/>
      <c r="E23" s="64" t="s">
        <v>18</v>
      </c>
      <c r="F23" s="65">
        <v>240</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7">
    <mergeCell ref="B24:E25"/>
    <mergeCell ref="B18:F18"/>
    <mergeCell ref="B20:B22"/>
    <mergeCell ref="C20:C22"/>
    <mergeCell ref="D20:D21"/>
    <mergeCell ref="E20:E21"/>
    <mergeCell ref="F20:F21"/>
  </mergeCells>
  <hyperlinks>
    <hyperlink ref="F6" r:id="rId1" xr:uid="{0D89F8DE-B8C9-4EDD-87FF-3143A3B58A72}"/>
  </hyperlinks>
  <pageMargins left="0.88" right="0.57999999999999996" top="0.5" bottom="0.5" header="0.5" footer="0.5"/>
  <pageSetup paperSize="9" scale="81"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7B64-B51D-48AC-AEB4-5A61BA7873F5}">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25">
      <c r="B8" s="228" t="s">
        <v>267</v>
      </c>
      <c r="C8" s="228"/>
      <c r="F8" s="21"/>
      <c r="H8" s="13"/>
    </row>
    <row r="9" spans="2:8" ht="13.5" customHeight="1" x14ac:dyDescent="0.35">
      <c r="B9" s="87" t="s">
        <v>124</v>
      </c>
      <c r="C9" s="20"/>
      <c r="E9" s="22"/>
      <c r="F9" s="37"/>
    </row>
    <row r="10" spans="2:8" ht="13.5" customHeight="1" x14ac:dyDescent="0.3">
      <c r="B10" s="86" t="s">
        <v>122</v>
      </c>
      <c r="C10" s="20"/>
      <c r="E10" s="22"/>
      <c r="F10" s="37"/>
    </row>
    <row r="11" spans="2:8" ht="13.5" customHeight="1" x14ac:dyDescent="0.3">
      <c r="B11" s="86" t="s">
        <v>123</v>
      </c>
      <c r="C11" s="20"/>
    </row>
    <row r="12" spans="2:8" ht="13.5" customHeight="1" x14ac:dyDescent="0.3">
      <c r="C12" s="20"/>
    </row>
    <row r="13" spans="2:8" ht="13.5" customHeight="1" x14ac:dyDescent="0.25"/>
    <row r="14" spans="2:8" x14ac:dyDescent="0.25">
      <c r="E14" s="107" t="s">
        <v>62</v>
      </c>
      <c r="F14" s="107">
        <v>202121</v>
      </c>
    </row>
    <row r="15" spans="2:8" ht="14" x14ac:dyDescent="0.3">
      <c r="B15" s="20"/>
      <c r="C15" s="33"/>
      <c r="E15" s="107" t="s">
        <v>316</v>
      </c>
      <c r="F15" s="23"/>
    </row>
    <row r="16" spans="2:8" x14ac:dyDescent="0.25">
      <c r="B16" s="4"/>
      <c r="C16" s="4"/>
      <c r="E16" s="107" t="s">
        <v>125</v>
      </c>
      <c r="F16" s="107"/>
    </row>
    <row r="17" spans="2:13" x14ac:dyDescent="0.25">
      <c r="B17" s="4"/>
      <c r="C17" s="4"/>
      <c r="E17" s="107"/>
      <c r="F17" s="107"/>
    </row>
    <row r="18" spans="2:13" ht="17.25" customHeight="1" x14ac:dyDescent="0.25">
      <c r="B18" s="217" t="s">
        <v>318</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59" t="s">
        <v>320</v>
      </c>
      <c r="C20" s="74" t="s">
        <v>147</v>
      </c>
      <c r="D20" s="77" t="s">
        <v>319</v>
      </c>
      <c r="E20" s="85" t="s">
        <v>34</v>
      </c>
      <c r="F20" s="63">
        <v>120</v>
      </c>
      <c r="M20" s="4"/>
    </row>
    <row r="21" spans="2:13" ht="23" customHeight="1" x14ac:dyDescent="0.25">
      <c r="B21" s="26"/>
      <c r="C21" s="26"/>
      <c r="D21" s="26"/>
      <c r="E21" s="64" t="s">
        <v>18</v>
      </c>
      <c r="F21" s="65">
        <v>120</v>
      </c>
    </row>
    <row r="22" spans="2:13" ht="12.75" customHeight="1" x14ac:dyDescent="0.25">
      <c r="B22" s="219" t="s">
        <v>19</v>
      </c>
      <c r="C22" s="219"/>
      <c r="D22" s="219"/>
      <c r="E22" s="219"/>
      <c r="F22" s="26"/>
    </row>
    <row r="23" spans="2:13" x14ac:dyDescent="0.25">
      <c r="B23" s="219"/>
      <c r="C23" s="219"/>
      <c r="D23" s="219"/>
      <c r="E23" s="219"/>
      <c r="F23" s="26"/>
    </row>
    <row r="24" spans="2:13" s="8" customFormat="1" x14ac:dyDescent="0.25">
      <c r="B24"/>
      <c r="C24"/>
      <c r="D24"/>
      <c r="E24"/>
      <c r="F24"/>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3">
    <mergeCell ref="B8:C8"/>
    <mergeCell ref="B18:F18"/>
    <mergeCell ref="B22:E23"/>
  </mergeCells>
  <hyperlinks>
    <hyperlink ref="F6" r:id="rId1" xr:uid="{5A4A544F-1FC7-4710-AD23-8C4C806A08FD}"/>
  </hyperlinks>
  <pageMargins left="0.88" right="0.57999999999999996" top="0.5" bottom="0.5" header="0.5" footer="0.5"/>
  <pageSetup paperSize="9" scale="80"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EA4F-811D-4104-92AF-21D3FB79E747}">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85</v>
      </c>
      <c r="C8" s="20"/>
      <c r="F8" s="21"/>
      <c r="H8" s="13"/>
    </row>
    <row r="9" spans="2:8" ht="13.5" customHeight="1" x14ac:dyDescent="0.3">
      <c r="B9" s="49" t="s">
        <v>86</v>
      </c>
      <c r="C9" s="20"/>
      <c r="E9" s="22"/>
      <c r="F9" s="37"/>
    </row>
    <row r="10" spans="2:8" ht="13.5" customHeight="1" x14ac:dyDescent="0.3">
      <c r="B10" s="4" t="s">
        <v>87</v>
      </c>
      <c r="C10" s="20"/>
      <c r="E10" s="22"/>
      <c r="F10" s="37"/>
    </row>
    <row r="11" spans="2:8" ht="13.5" customHeight="1" x14ac:dyDescent="0.3">
      <c r="B11" s="4" t="s">
        <v>88</v>
      </c>
      <c r="C11" s="20"/>
    </row>
    <row r="12" spans="2:8" ht="13.5" customHeight="1" x14ac:dyDescent="0.3">
      <c r="C12" s="20"/>
    </row>
    <row r="13" spans="2:8" ht="13.5" customHeight="1" x14ac:dyDescent="0.25"/>
    <row r="14" spans="2:8" x14ac:dyDescent="0.25">
      <c r="E14" s="107" t="s">
        <v>62</v>
      </c>
      <c r="F14" s="107">
        <v>202122</v>
      </c>
    </row>
    <row r="15" spans="2:8" ht="14" x14ac:dyDescent="0.3">
      <c r="B15" s="20"/>
      <c r="C15" s="33"/>
      <c r="E15" s="107" t="s">
        <v>316</v>
      </c>
      <c r="F15" s="23"/>
    </row>
    <row r="16" spans="2:8" x14ac:dyDescent="0.25">
      <c r="B16" s="4"/>
      <c r="C16" s="4"/>
      <c r="E16" s="107" t="s">
        <v>89</v>
      </c>
      <c r="F16" s="107"/>
    </row>
    <row r="17" spans="2:13" x14ac:dyDescent="0.25">
      <c r="B17" s="4"/>
      <c r="C17" s="4"/>
      <c r="E17" s="107"/>
      <c r="F17" s="107"/>
    </row>
    <row r="18" spans="2:13" ht="17.25" customHeight="1" x14ac:dyDescent="0.25">
      <c r="B18" s="217" t="s">
        <v>321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220" t="s">
        <v>324</v>
      </c>
      <c r="C20" s="220" t="s">
        <v>64</v>
      </c>
      <c r="D20" s="50" t="s">
        <v>322</v>
      </c>
      <c r="E20" s="68" t="s">
        <v>32</v>
      </c>
      <c r="F20" s="67" t="s">
        <v>33</v>
      </c>
      <c r="M20" s="4"/>
    </row>
    <row r="21" spans="2:13" s="26" customFormat="1" ht="19" customHeight="1" x14ac:dyDescent="0.25">
      <c r="B21" s="222"/>
      <c r="C21" s="222"/>
      <c r="D21" s="35" t="s">
        <v>323</v>
      </c>
      <c r="E21" s="83" t="s">
        <v>34</v>
      </c>
      <c r="F21" s="84" t="s">
        <v>93</v>
      </c>
      <c r="M21" s="4"/>
    </row>
    <row r="22" spans="2:13" ht="12.75" customHeight="1" x14ac:dyDescent="0.25">
      <c r="B22" s="26"/>
      <c r="C22" s="26"/>
      <c r="D22" s="26"/>
      <c r="E22" s="64" t="s">
        <v>18</v>
      </c>
      <c r="F22" s="65">
        <v>240</v>
      </c>
    </row>
    <row r="23" spans="2:13" x14ac:dyDescent="0.25">
      <c r="B23" s="219" t="s">
        <v>19</v>
      </c>
      <c r="C23" s="219"/>
      <c r="D23" s="219"/>
      <c r="E23" s="219"/>
      <c r="F23" s="26"/>
    </row>
    <row r="24" spans="2:13" s="8" customFormat="1" x14ac:dyDescent="0.2">
      <c r="B24" s="219"/>
      <c r="C24" s="219"/>
      <c r="D24" s="219"/>
      <c r="E24" s="219"/>
      <c r="F24" s="26"/>
    </row>
    <row r="27" spans="2:13" x14ac:dyDescent="0.25">
      <c r="B27" s="8" t="s">
        <v>20</v>
      </c>
      <c r="C27" s="8"/>
    </row>
    <row r="28" spans="2:13" x14ac:dyDescent="0.25">
      <c r="B28" s="8" t="s">
        <v>21</v>
      </c>
      <c r="C28" s="8"/>
    </row>
    <row r="29" spans="2:13" x14ac:dyDescent="0.25">
      <c r="B29" s="8"/>
      <c r="C29" s="8"/>
    </row>
    <row r="30" spans="2:13" x14ac:dyDescent="0.25">
      <c r="B30" s="4"/>
      <c r="C30" s="4"/>
    </row>
    <row r="32" spans="2:13" x14ac:dyDescent="0.25">
      <c r="B32" s="8" t="s">
        <v>22</v>
      </c>
      <c r="C32" s="8"/>
      <c r="D32" s="8" t="s">
        <v>23</v>
      </c>
      <c r="E32" s="8"/>
      <c r="F32" s="8"/>
    </row>
  </sheetData>
  <mergeCells count="4">
    <mergeCell ref="B18:F18"/>
    <mergeCell ref="B20:B21"/>
    <mergeCell ref="C20:C21"/>
    <mergeCell ref="B23:E24"/>
  </mergeCells>
  <hyperlinks>
    <hyperlink ref="F6" r:id="rId1" xr:uid="{8FFDCE4A-CBE2-4698-8270-D1D76D11B57B}"/>
  </hyperlinks>
  <pageMargins left="0.88" right="0.57999999999999996" top="0.5" bottom="0.5" header="0.5" footer="0.5"/>
  <pageSetup paperSize="9" scale="81"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02F1-05A8-4FAA-9F0E-3FFC1152AD9F}">
  <sheetPr>
    <tabColor rgb="FF92D050"/>
    <pageSetUpPr fitToPage="1"/>
  </sheetPr>
  <dimension ref="B1:M40"/>
  <sheetViews>
    <sheetView showGridLines="0" zoomScaleNormal="100" workbookViewId="0">
      <selection activeCell="B8" sqref="B8:C1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97</v>
      </c>
      <c r="C8" s="20"/>
      <c r="F8" s="21"/>
      <c r="H8" s="13"/>
    </row>
    <row r="9" spans="2:8" ht="13.5" customHeight="1" x14ac:dyDescent="0.3">
      <c r="B9" s="20" t="s">
        <v>98</v>
      </c>
      <c r="C9" s="20"/>
      <c r="E9" s="22"/>
      <c r="F9" s="37"/>
    </row>
    <row r="10" spans="2:8" ht="13.5" customHeight="1" x14ac:dyDescent="0.3">
      <c r="B10" s="20" t="s">
        <v>99</v>
      </c>
      <c r="C10" s="20"/>
      <c r="E10" s="22"/>
      <c r="F10" s="37"/>
    </row>
    <row r="11" spans="2:8" ht="13.5" customHeight="1" x14ac:dyDescent="0.3">
      <c r="B11" s="20" t="s">
        <v>100</v>
      </c>
      <c r="C11" s="20"/>
    </row>
    <row r="12" spans="2:8" ht="13.5" customHeight="1" x14ac:dyDescent="0.3">
      <c r="C12" s="20"/>
    </row>
    <row r="13" spans="2:8" ht="13.5" customHeight="1" x14ac:dyDescent="0.25"/>
    <row r="14" spans="2:8" x14ac:dyDescent="0.25">
      <c r="E14" s="107" t="s">
        <v>62</v>
      </c>
      <c r="F14" s="107">
        <v>202123</v>
      </c>
    </row>
    <row r="15" spans="2:8" ht="14" x14ac:dyDescent="0.3">
      <c r="B15" s="20"/>
      <c r="C15" s="20"/>
      <c r="E15" s="107" t="s">
        <v>316</v>
      </c>
      <c r="F15" s="23"/>
    </row>
    <row r="16" spans="2:8" x14ac:dyDescent="0.25">
      <c r="B16" s="4"/>
      <c r="C16" s="4"/>
      <c r="E16" s="107" t="s">
        <v>101</v>
      </c>
      <c r="F16" s="107"/>
    </row>
    <row r="17" spans="2:13" x14ac:dyDescent="0.25">
      <c r="B17" s="4"/>
      <c r="C17" s="4"/>
      <c r="E17" s="107"/>
      <c r="F17" s="107"/>
    </row>
    <row r="18" spans="2:13" ht="17.25" customHeight="1" x14ac:dyDescent="0.25">
      <c r="B18" s="217" t="s">
        <v>326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1.5" customHeight="1" x14ac:dyDescent="0.25">
      <c r="B20" s="101" t="s">
        <v>152</v>
      </c>
      <c r="C20" s="110" t="s">
        <v>329</v>
      </c>
      <c r="D20" s="101" t="s">
        <v>332</v>
      </c>
      <c r="E20" s="101" t="s">
        <v>34</v>
      </c>
      <c r="F20" s="115" t="s">
        <v>35</v>
      </c>
      <c r="M20" s="4"/>
    </row>
    <row r="21" spans="2:13" s="26" customFormat="1" ht="20.149999999999999" customHeight="1" x14ac:dyDescent="0.25">
      <c r="B21" s="220" t="s">
        <v>327</v>
      </c>
      <c r="C21" s="220" t="s">
        <v>328</v>
      </c>
      <c r="D21" s="220" t="s">
        <v>333</v>
      </c>
      <c r="E21" s="220" t="s">
        <v>37</v>
      </c>
      <c r="F21" s="233" t="s">
        <v>81</v>
      </c>
      <c r="M21" s="4"/>
    </row>
    <row r="22" spans="2:13" s="26" customFormat="1" ht="46.5" customHeight="1" x14ac:dyDescent="0.25">
      <c r="B22" s="222"/>
      <c r="C22" s="222"/>
      <c r="D22" s="222"/>
      <c r="E22" s="222"/>
      <c r="F22" s="234"/>
      <c r="M22" s="4"/>
    </row>
    <row r="23" spans="2:13" s="26" customFormat="1" ht="14" customHeight="1" x14ac:dyDescent="0.25">
      <c r="B23" s="220" t="s">
        <v>340</v>
      </c>
      <c r="C23" s="220" t="s">
        <v>73</v>
      </c>
      <c r="D23" s="50" t="s">
        <v>334</v>
      </c>
      <c r="E23" s="111" t="s">
        <v>34</v>
      </c>
      <c r="F23" s="67" t="s">
        <v>35</v>
      </c>
      <c r="M23" s="4"/>
    </row>
    <row r="24" spans="2:13" s="26" customFormat="1" ht="14" customHeight="1" x14ac:dyDescent="0.25">
      <c r="B24" s="221"/>
      <c r="C24" s="221"/>
      <c r="D24" s="54" t="s">
        <v>335</v>
      </c>
      <c r="E24" s="36" t="s">
        <v>34</v>
      </c>
      <c r="F24" s="81" t="s">
        <v>35</v>
      </c>
      <c r="M24" s="4"/>
    </row>
    <row r="25" spans="2:13" s="26" customFormat="1" ht="16.5" customHeight="1" x14ac:dyDescent="0.25">
      <c r="B25" s="221"/>
      <c r="C25" s="221"/>
      <c r="D25" s="54" t="s">
        <v>336</v>
      </c>
      <c r="E25" s="36" t="s">
        <v>34</v>
      </c>
      <c r="F25" s="81" t="s">
        <v>35</v>
      </c>
      <c r="M25" s="4"/>
    </row>
    <row r="26" spans="2:13" s="26" customFormat="1" ht="14.5" customHeight="1" x14ac:dyDescent="0.25">
      <c r="B26" s="221"/>
      <c r="C26" s="221"/>
      <c r="D26" s="54" t="s">
        <v>337</v>
      </c>
      <c r="E26" s="36" t="s">
        <v>34</v>
      </c>
      <c r="F26" s="81" t="s">
        <v>35</v>
      </c>
      <c r="M26" s="4"/>
    </row>
    <row r="27" spans="2:13" s="26" customFormat="1" ht="14.5" customHeight="1" x14ac:dyDescent="0.25">
      <c r="B27" s="221"/>
      <c r="C27" s="221"/>
      <c r="D27" s="54" t="s">
        <v>338</v>
      </c>
      <c r="E27" s="36" t="s">
        <v>34</v>
      </c>
      <c r="F27" s="81" t="s">
        <v>35</v>
      </c>
      <c r="M27" s="4"/>
    </row>
    <row r="28" spans="2:13" s="26" customFormat="1" ht="14" customHeight="1" x14ac:dyDescent="0.25">
      <c r="B28" s="222"/>
      <c r="C28" s="222"/>
      <c r="D28" s="35" t="s">
        <v>390</v>
      </c>
      <c r="E28" s="36" t="s">
        <v>34</v>
      </c>
      <c r="F28" s="81" t="s">
        <v>35</v>
      </c>
      <c r="M28" s="4"/>
    </row>
    <row r="29" spans="2:13" s="26" customFormat="1" ht="38" customHeight="1" x14ac:dyDescent="0.25">
      <c r="B29" s="74" t="s">
        <v>330</v>
      </c>
      <c r="C29" s="85" t="s">
        <v>105</v>
      </c>
      <c r="D29" s="77" t="s">
        <v>390</v>
      </c>
      <c r="E29" s="85" t="s">
        <v>34</v>
      </c>
      <c r="F29" s="82" t="s">
        <v>35</v>
      </c>
      <c r="M29" s="4"/>
    </row>
    <row r="30" spans="2:13" ht="23" customHeight="1" x14ac:dyDescent="0.25">
      <c r="B30" s="26"/>
      <c r="C30" s="26"/>
      <c r="D30" s="26"/>
      <c r="E30" s="64" t="s">
        <v>18</v>
      </c>
      <c r="F30" s="65" t="s">
        <v>339</v>
      </c>
    </row>
    <row r="31" spans="2:13" ht="12.75" customHeight="1" x14ac:dyDescent="0.25">
      <c r="B31" s="219" t="s">
        <v>19</v>
      </c>
      <c r="C31" s="219"/>
      <c r="D31" s="219"/>
      <c r="E31" s="219"/>
      <c r="F31" s="26"/>
    </row>
    <row r="32" spans="2:13" x14ac:dyDescent="0.25">
      <c r="B32" s="219"/>
      <c r="C32" s="219"/>
      <c r="D32" s="219"/>
      <c r="E32" s="219"/>
      <c r="F32" s="26"/>
    </row>
    <row r="33" spans="2:6" s="8" customFormat="1" x14ac:dyDescent="0.25">
      <c r="B33"/>
      <c r="C33"/>
      <c r="D33"/>
      <c r="E33"/>
      <c r="F33"/>
    </row>
    <row r="35" spans="2:6" x14ac:dyDescent="0.25">
      <c r="B35" s="8" t="s">
        <v>20</v>
      </c>
      <c r="C35" s="8"/>
    </row>
    <row r="36" spans="2:6" x14ac:dyDescent="0.25">
      <c r="B36" s="8" t="s">
        <v>21</v>
      </c>
      <c r="C36" s="8"/>
    </row>
    <row r="37" spans="2:6" x14ac:dyDescent="0.25">
      <c r="B37" s="8"/>
      <c r="C37" s="8"/>
    </row>
    <row r="38" spans="2:6" x14ac:dyDescent="0.25">
      <c r="B38" s="4"/>
      <c r="C38" s="4"/>
    </row>
    <row r="40" spans="2:6" x14ac:dyDescent="0.25">
      <c r="B40" s="8" t="s">
        <v>22</v>
      </c>
      <c r="C40" s="8"/>
      <c r="D40" s="8" t="s">
        <v>23</v>
      </c>
      <c r="E40" s="8"/>
      <c r="F40" s="8"/>
    </row>
  </sheetData>
  <mergeCells count="9">
    <mergeCell ref="B18:F18"/>
    <mergeCell ref="B23:B28"/>
    <mergeCell ref="C23:C28"/>
    <mergeCell ref="B31:E32"/>
    <mergeCell ref="B21:B22"/>
    <mergeCell ref="C21:C22"/>
    <mergeCell ref="D21:D22"/>
    <mergeCell ref="E21:E22"/>
    <mergeCell ref="F21:F22"/>
  </mergeCells>
  <hyperlinks>
    <hyperlink ref="F6" r:id="rId1" xr:uid="{3DADD931-758C-4727-AE2D-220B037DEA43}"/>
  </hyperlinks>
  <pageMargins left="0.88" right="0.57999999999999996" top="0.5" bottom="0.5" header="0.5" footer="0.5"/>
  <pageSetup paperSize="9" scale="81"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27DC-8755-444B-81F5-E5FCF2D83153}">
  <sheetPr>
    <tabColor rgb="FF92D050"/>
    <pageSetUpPr fitToPage="1"/>
  </sheetPr>
  <dimension ref="B1:M35"/>
  <sheetViews>
    <sheetView showGridLines="0" topLeftCell="A13" zoomScaleNormal="100" workbookViewId="0">
      <selection activeCell="B18" sqref="B18:F18"/>
    </sheetView>
  </sheetViews>
  <sheetFormatPr defaultRowHeight="12.5" x14ac:dyDescent="0.25"/>
  <cols>
    <col min="1" max="1" width="12.1796875" customWidth="1"/>
    <col min="2" max="2" width="17.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86" t="s">
        <v>107</v>
      </c>
      <c r="C8" s="20"/>
      <c r="F8" s="21"/>
      <c r="H8" s="13"/>
    </row>
    <row r="9" spans="2:8" ht="13.5" customHeight="1" x14ac:dyDescent="0.3">
      <c r="B9" s="86" t="s">
        <v>108</v>
      </c>
      <c r="C9" s="20"/>
      <c r="E9" s="22"/>
      <c r="F9" s="37"/>
    </row>
    <row r="10" spans="2:8" ht="13.5" customHeight="1" x14ac:dyDescent="0.3">
      <c r="B10" s="86" t="s">
        <v>109</v>
      </c>
      <c r="C10" s="20"/>
      <c r="E10" s="22"/>
      <c r="F10" s="37"/>
    </row>
    <row r="11" spans="2:8" ht="13.5" customHeight="1" x14ac:dyDescent="0.3">
      <c r="B11" s="86" t="s">
        <v>110</v>
      </c>
      <c r="C11" s="20"/>
    </row>
    <row r="12" spans="2:8" ht="13.5" customHeight="1" x14ac:dyDescent="0.3">
      <c r="C12" s="20"/>
    </row>
    <row r="13" spans="2:8" ht="13.5" customHeight="1" x14ac:dyDescent="0.25"/>
    <row r="14" spans="2:8" x14ac:dyDescent="0.25">
      <c r="E14" s="107" t="s">
        <v>62</v>
      </c>
      <c r="F14" s="107">
        <v>202124</v>
      </c>
    </row>
    <row r="15" spans="2:8" ht="14" x14ac:dyDescent="0.3">
      <c r="B15" s="20"/>
      <c r="C15" s="33"/>
      <c r="E15" s="107" t="s">
        <v>316</v>
      </c>
      <c r="F15" s="23"/>
    </row>
    <row r="16" spans="2:8" x14ac:dyDescent="0.25">
      <c r="B16" s="4"/>
      <c r="C16" s="4"/>
      <c r="E16" s="107" t="s">
        <v>111</v>
      </c>
      <c r="F16" s="107"/>
    </row>
    <row r="17" spans="2:13" x14ac:dyDescent="0.25">
      <c r="B17" s="4"/>
      <c r="C17" s="4"/>
      <c r="E17" s="107"/>
      <c r="F17" s="107"/>
    </row>
    <row r="18" spans="2:13" ht="17.25" customHeight="1" x14ac:dyDescent="0.25">
      <c r="B18" s="217" t="s">
        <v>341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20.149999999999999" customHeight="1" x14ac:dyDescent="0.25">
      <c r="B20" s="235" t="s">
        <v>344</v>
      </c>
      <c r="C20" s="235" t="s">
        <v>342</v>
      </c>
      <c r="D20" s="237" t="s">
        <v>179</v>
      </c>
      <c r="E20" s="237" t="s">
        <v>343</v>
      </c>
      <c r="F20" s="239" t="s">
        <v>35</v>
      </c>
      <c r="M20" s="4"/>
    </row>
    <row r="21" spans="2:13" s="26" customFormat="1" ht="20.149999999999999" customHeight="1" x14ac:dyDescent="0.25">
      <c r="B21" s="236"/>
      <c r="C21" s="236"/>
      <c r="D21" s="238"/>
      <c r="E21" s="238"/>
      <c r="F21" s="240"/>
      <c r="M21" s="4"/>
    </row>
    <row r="22" spans="2:13" s="26" customFormat="1" ht="19" customHeight="1" x14ac:dyDescent="0.25">
      <c r="B22" s="220" t="s">
        <v>351</v>
      </c>
      <c r="C22" s="220" t="s">
        <v>73</v>
      </c>
      <c r="D22" s="50" t="s">
        <v>322</v>
      </c>
      <c r="E22" s="111" t="s">
        <v>34</v>
      </c>
      <c r="F22" s="67" t="s">
        <v>35</v>
      </c>
      <c r="M22" s="4"/>
    </row>
    <row r="23" spans="2:13" s="26" customFormat="1" ht="19" customHeight="1" x14ac:dyDescent="0.25">
      <c r="B23" s="221"/>
      <c r="C23" s="221"/>
      <c r="D23" s="54" t="s">
        <v>336</v>
      </c>
      <c r="E23" s="36" t="s">
        <v>34</v>
      </c>
      <c r="F23" s="81" t="s">
        <v>35</v>
      </c>
      <c r="M23" s="4"/>
    </row>
    <row r="24" spans="2:13" s="26" customFormat="1" ht="13" customHeight="1" x14ac:dyDescent="0.25">
      <c r="B24" s="222"/>
      <c r="C24" s="222"/>
      <c r="D24" s="35"/>
      <c r="E24" s="112"/>
      <c r="F24" s="84"/>
      <c r="M24" s="4"/>
    </row>
    <row r="25" spans="2:13" ht="23" customHeight="1" x14ac:dyDescent="0.25">
      <c r="B25" s="26"/>
      <c r="C25" s="26"/>
      <c r="D25" s="26"/>
      <c r="E25" s="64" t="s">
        <v>18</v>
      </c>
      <c r="F25" s="65" t="s">
        <v>345</v>
      </c>
    </row>
    <row r="26" spans="2:13" ht="12.75" customHeight="1" x14ac:dyDescent="0.25">
      <c r="B26" s="219" t="s">
        <v>19</v>
      </c>
      <c r="C26" s="219"/>
      <c r="D26" s="219"/>
      <c r="E26" s="219"/>
      <c r="F26" s="26"/>
    </row>
    <row r="27" spans="2:13" x14ac:dyDescent="0.25">
      <c r="B27" s="219"/>
      <c r="C27" s="219"/>
      <c r="D27" s="219"/>
      <c r="E27" s="219"/>
      <c r="F27" s="26"/>
    </row>
    <row r="28" spans="2:13" s="8" customFormat="1" x14ac:dyDescent="0.25">
      <c r="B28"/>
      <c r="C28"/>
      <c r="D28"/>
      <c r="E28"/>
      <c r="F28"/>
    </row>
    <row r="30" spans="2:13" x14ac:dyDescent="0.25">
      <c r="B30" s="8" t="s">
        <v>20</v>
      </c>
      <c r="C30" s="8"/>
    </row>
    <row r="31" spans="2:13" x14ac:dyDescent="0.25">
      <c r="B31" s="8" t="s">
        <v>21</v>
      </c>
      <c r="C31" s="8"/>
    </row>
    <row r="32" spans="2:13" x14ac:dyDescent="0.25">
      <c r="B32" s="8"/>
      <c r="C32" s="8"/>
    </row>
    <row r="33" spans="2:6" x14ac:dyDescent="0.25">
      <c r="B33" s="4"/>
      <c r="C33" s="4"/>
    </row>
    <row r="35" spans="2:6" x14ac:dyDescent="0.25">
      <c r="B35" s="8" t="s">
        <v>22</v>
      </c>
      <c r="C35" s="8"/>
      <c r="D35" s="8" t="s">
        <v>23</v>
      </c>
      <c r="E35" s="8"/>
      <c r="F35" s="8"/>
    </row>
  </sheetData>
  <mergeCells count="9">
    <mergeCell ref="B18:F18"/>
    <mergeCell ref="B22:B24"/>
    <mergeCell ref="C22:C24"/>
    <mergeCell ref="B26:E27"/>
    <mergeCell ref="C20:C21"/>
    <mergeCell ref="D20:D21"/>
    <mergeCell ref="E20:E21"/>
    <mergeCell ref="F20:F21"/>
    <mergeCell ref="B20:B21"/>
  </mergeCells>
  <hyperlinks>
    <hyperlink ref="F6" r:id="rId1" xr:uid="{0840F78D-44A6-4CA0-A1F4-18C20D5E16F5}"/>
  </hyperlinks>
  <pageMargins left="0.88" right="0.57999999999999996" top="0.5" bottom="0.5" header="0.5" footer="0.5"/>
  <pageSetup paperSize="9" scale="82"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9E67-42C7-46D1-BDC4-91A22A248824}">
  <sheetPr>
    <tabColor rgb="FF92D050"/>
    <pageSetUpPr fitToPage="1"/>
  </sheetPr>
  <dimension ref="B1:M29"/>
  <sheetViews>
    <sheetView showGridLines="0" topLeftCell="A11" zoomScaleNormal="100" workbookViewId="0">
      <selection activeCell="B18" sqref="B18:F18"/>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168</v>
      </c>
      <c r="C8" s="20"/>
      <c r="F8" s="21"/>
      <c r="H8" s="13"/>
    </row>
    <row r="9" spans="2:8" ht="13.5" customHeight="1" x14ac:dyDescent="0.3">
      <c r="B9" s="49" t="s">
        <v>171</v>
      </c>
      <c r="C9" s="20"/>
      <c r="E9" s="22"/>
      <c r="F9" s="37"/>
    </row>
    <row r="10" spans="2:8" ht="13.5" customHeight="1" x14ac:dyDescent="0.3">
      <c r="B10" s="49" t="s">
        <v>169</v>
      </c>
      <c r="C10" s="20"/>
      <c r="E10" s="22"/>
      <c r="F10" s="37"/>
    </row>
    <row r="11" spans="2:8" ht="13.5" customHeight="1" x14ac:dyDescent="0.3">
      <c r="B11" s="49" t="s">
        <v>170</v>
      </c>
      <c r="C11" s="20"/>
    </row>
    <row r="12" spans="2:8" ht="13.5" customHeight="1" x14ac:dyDescent="0.3">
      <c r="C12" s="20"/>
    </row>
    <row r="13" spans="2:8" ht="13.5" customHeight="1" x14ac:dyDescent="0.25"/>
    <row r="14" spans="2:8" x14ac:dyDescent="0.25">
      <c r="E14" s="107" t="s">
        <v>62</v>
      </c>
      <c r="F14" s="107">
        <v>202125</v>
      </c>
    </row>
    <row r="15" spans="2:8" ht="14" x14ac:dyDescent="0.3">
      <c r="B15" s="20"/>
      <c r="C15" s="33"/>
      <c r="E15" s="107" t="s">
        <v>316</v>
      </c>
      <c r="F15" s="23"/>
    </row>
    <row r="16" spans="2:8" x14ac:dyDescent="0.25">
      <c r="B16" s="4"/>
      <c r="C16" s="4"/>
      <c r="E16" s="107" t="s">
        <v>172</v>
      </c>
      <c r="F16" s="107"/>
    </row>
    <row r="17" spans="2:13" x14ac:dyDescent="0.25">
      <c r="B17" s="4"/>
      <c r="C17" s="4"/>
      <c r="E17" s="107"/>
      <c r="F17" s="107"/>
    </row>
    <row r="18" spans="2:13" ht="17.25" customHeight="1" x14ac:dyDescent="0.25">
      <c r="B18" s="217" t="s">
        <v>346</v>
      </c>
      <c r="C18" s="217"/>
      <c r="D18" s="217"/>
      <c r="E18" s="217"/>
      <c r="F18" s="217"/>
    </row>
    <row r="19" spans="2:13" s="26" customFormat="1" ht="20.149999999999999" customHeight="1" x14ac:dyDescent="0.25">
      <c r="B19" s="24" t="s">
        <v>15</v>
      </c>
      <c r="C19" s="24"/>
      <c r="D19" s="24" t="s">
        <v>16</v>
      </c>
      <c r="E19" s="25" t="s">
        <v>17</v>
      </c>
      <c r="F19" s="29" t="s">
        <v>5</v>
      </c>
      <c r="M19" s="4"/>
    </row>
    <row r="20" spans="2:13" s="8" customFormat="1" ht="12.5" customHeight="1" x14ac:dyDescent="0.2">
      <c r="B20" s="220" t="s">
        <v>347</v>
      </c>
      <c r="C20" s="220" t="s">
        <v>64</v>
      </c>
      <c r="D20" s="50" t="s">
        <v>348</v>
      </c>
      <c r="E20" s="68" t="s">
        <v>32</v>
      </c>
      <c r="F20" s="67" t="s">
        <v>33</v>
      </c>
    </row>
    <row r="21" spans="2:13" x14ac:dyDescent="0.25">
      <c r="B21" s="221"/>
      <c r="C21" s="221"/>
      <c r="D21" s="54" t="s">
        <v>349</v>
      </c>
      <c r="E21" s="93" t="s">
        <v>34</v>
      </c>
      <c r="F21" s="32" t="s">
        <v>35</v>
      </c>
    </row>
    <row r="22" spans="2:13" x14ac:dyDescent="0.25">
      <c r="B22" s="221"/>
      <c r="C22" s="221"/>
      <c r="D22" s="54" t="s">
        <v>350</v>
      </c>
      <c r="E22" s="93" t="s">
        <v>34</v>
      </c>
      <c r="F22" s="32" t="s">
        <v>35</v>
      </c>
    </row>
    <row r="23" spans="2:13" ht="37.5" x14ac:dyDescent="0.25">
      <c r="B23" s="59" t="s">
        <v>296</v>
      </c>
      <c r="C23" s="59" t="s">
        <v>105</v>
      </c>
      <c r="D23" s="62" t="s">
        <v>331</v>
      </c>
      <c r="E23" s="62" t="s">
        <v>131</v>
      </c>
      <c r="F23" s="100" t="s">
        <v>40</v>
      </c>
    </row>
    <row r="24" spans="2:13" ht="13" x14ac:dyDescent="0.25">
      <c r="B24" s="26"/>
      <c r="C24" s="26"/>
      <c r="D24" s="26"/>
      <c r="E24" s="64" t="s">
        <v>18</v>
      </c>
      <c r="F24" s="65" t="s">
        <v>180</v>
      </c>
    </row>
    <row r="25" spans="2:13" ht="13" x14ac:dyDescent="0.25">
      <c r="B25" s="26"/>
      <c r="C25" s="26"/>
      <c r="D25" s="26"/>
      <c r="E25" s="64"/>
      <c r="F25" s="116"/>
    </row>
    <row r="26" spans="2:13" ht="13" x14ac:dyDescent="0.25">
      <c r="B26" s="8" t="s">
        <v>20</v>
      </c>
      <c r="C26" s="8"/>
      <c r="D26" s="8"/>
      <c r="E26" s="8"/>
      <c r="F26" s="116"/>
    </row>
    <row r="27" spans="2:13" x14ac:dyDescent="0.25">
      <c r="B27" s="8" t="s">
        <v>21</v>
      </c>
      <c r="C27" s="8"/>
      <c r="D27" s="8"/>
      <c r="E27" s="8"/>
    </row>
    <row r="29" spans="2:13" x14ac:dyDescent="0.25">
      <c r="B29" s="8" t="s">
        <v>22</v>
      </c>
      <c r="C29" s="8"/>
      <c r="D29" s="8" t="s">
        <v>23</v>
      </c>
      <c r="E29" s="8"/>
      <c r="F29" s="8"/>
    </row>
  </sheetData>
  <mergeCells count="3">
    <mergeCell ref="B18:F18"/>
    <mergeCell ref="B20:B22"/>
    <mergeCell ref="C20:C22"/>
  </mergeCells>
  <hyperlinks>
    <hyperlink ref="F6" r:id="rId1" xr:uid="{B60A74C3-CFB3-405A-9631-D592C016497A}"/>
  </hyperlinks>
  <pageMargins left="0.88" right="0.57999999999999996" top="0.5" bottom="0.5" header="0.5" footer="0.5"/>
  <pageSetup paperSize="9" scale="80"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BB88-AAD2-43ED-84D7-C88B222021E2}">
  <sheetPr>
    <tabColor rgb="FF92D050"/>
    <pageSetUpPr fitToPage="1"/>
  </sheetPr>
  <dimension ref="B1:M33"/>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97</v>
      </c>
      <c r="C8" s="20"/>
      <c r="F8" s="21"/>
      <c r="H8" s="13"/>
    </row>
    <row r="9" spans="2:8" ht="13.5" customHeight="1" x14ac:dyDescent="0.3">
      <c r="B9" s="20" t="s">
        <v>98</v>
      </c>
      <c r="C9" s="20"/>
      <c r="E9" s="22"/>
      <c r="F9" s="37"/>
    </row>
    <row r="10" spans="2:8" ht="13.5" customHeight="1" x14ac:dyDescent="0.3">
      <c r="B10" s="20" t="s">
        <v>99</v>
      </c>
      <c r="C10" s="20"/>
      <c r="E10" s="22"/>
      <c r="F10" s="37"/>
    </row>
    <row r="11" spans="2:8" ht="13.5" customHeight="1" x14ac:dyDescent="0.3">
      <c r="B11" s="20" t="s">
        <v>100</v>
      </c>
      <c r="C11" s="20"/>
    </row>
    <row r="12" spans="2:8" ht="13.5" customHeight="1" x14ac:dyDescent="0.3">
      <c r="C12" s="20"/>
    </row>
    <row r="13" spans="2:8" ht="13.5" customHeight="1" x14ac:dyDescent="0.25"/>
    <row r="14" spans="2:8" x14ac:dyDescent="0.25">
      <c r="E14" s="107" t="s">
        <v>62</v>
      </c>
      <c r="F14" s="107">
        <v>202126</v>
      </c>
    </row>
    <row r="15" spans="2:8" ht="14" x14ac:dyDescent="0.3">
      <c r="B15" s="20"/>
      <c r="C15" s="20"/>
      <c r="E15" s="107" t="s">
        <v>316</v>
      </c>
      <c r="F15" s="23"/>
    </row>
    <row r="16" spans="2:8" x14ac:dyDescent="0.25">
      <c r="B16" s="4"/>
      <c r="C16" s="4"/>
      <c r="E16" s="107" t="s">
        <v>352</v>
      </c>
      <c r="F16" s="107"/>
    </row>
    <row r="17" spans="2:13" x14ac:dyDescent="0.25">
      <c r="B17" s="4"/>
      <c r="C17" s="4"/>
      <c r="E17" s="107"/>
      <c r="F17" s="107"/>
    </row>
    <row r="18" spans="2:13" ht="17.25" customHeight="1" x14ac:dyDescent="0.25">
      <c r="B18" s="217" t="s">
        <v>353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1.5" customHeight="1" x14ac:dyDescent="0.25">
      <c r="B20" s="101" t="s">
        <v>152</v>
      </c>
      <c r="C20" s="110" t="s">
        <v>329</v>
      </c>
      <c r="D20" s="101" t="s">
        <v>90</v>
      </c>
      <c r="E20" s="101" t="s">
        <v>34</v>
      </c>
      <c r="F20" s="117" t="s">
        <v>35</v>
      </c>
      <c r="M20" s="4"/>
    </row>
    <row r="21" spans="2:13" s="26" customFormat="1" ht="14" customHeight="1" x14ac:dyDescent="0.25">
      <c r="B21" s="220" t="s">
        <v>355</v>
      </c>
      <c r="C21" s="220" t="s">
        <v>354</v>
      </c>
      <c r="D21" s="50" t="s">
        <v>332</v>
      </c>
      <c r="E21" s="111" t="s">
        <v>34</v>
      </c>
      <c r="F21" s="67" t="s">
        <v>35</v>
      </c>
      <c r="M21" s="4"/>
    </row>
    <row r="22" spans="2:13" s="26" customFormat="1" ht="14" customHeight="1" x14ac:dyDescent="0.25">
      <c r="B22" s="222"/>
      <c r="C22" s="222"/>
      <c r="D22" s="35" t="s">
        <v>331</v>
      </c>
      <c r="E22" s="112" t="s">
        <v>34</v>
      </c>
      <c r="F22" s="84" t="s">
        <v>35</v>
      </c>
      <c r="M22" s="4"/>
    </row>
    <row r="23" spans="2:13" ht="23" customHeight="1" x14ac:dyDescent="0.25">
      <c r="B23" s="26"/>
      <c r="C23" s="26"/>
      <c r="D23" s="26"/>
      <c r="E23" s="64" t="s">
        <v>18</v>
      </c>
      <c r="F23" s="65" t="s">
        <v>345</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21:B22"/>
    <mergeCell ref="C21:C22"/>
    <mergeCell ref="B24:E25"/>
    <mergeCell ref="B18:F18"/>
  </mergeCells>
  <hyperlinks>
    <hyperlink ref="F6" r:id="rId1" xr:uid="{25AB64F1-02D6-464B-AE11-FC63FAFD345A}"/>
  </hyperlinks>
  <pageMargins left="0.88" right="0.57999999999999996" top="0.5" bottom="0.5" header="0.5" footer="0.5"/>
  <pageSetup paperSize="9" scale="81"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C840-004B-478D-9DDA-AAFD502D277D}">
  <sheetPr>
    <tabColor rgb="FF92D050"/>
    <pageSetUpPr fitToPage="1"/>
  </sheetPr>
  <dimension ref="B1:M29"/>
  <sheetViews>
    <sheetView showGridLines="0" topLeftCell="A12" zoomScale="98" zoomScaleNormal="85" workbookViewId="0">
      <selection activeCell="C20" sqref="C20:C21"/>
    </sheetView>
  </sheetViews>
  <sheetFormatPr defaultRowHeight="12.5" x14ac:dyDescent="0.25"/>
  <cols>
    <col min="1" max="1" width="12.1796875" customWidth="1"/>
    <col min="2" max="2" width="21.179687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 t="s">
        <v>156</v>
      </c>
      <c r="C8" s="20"/>
      <c r="F8" s="21"/>
      <c r="H8" s="13"/>
    </row>
    <row r="9" spans="2:8" ht="13.5" customHeight="1" x14ac:dyDescent="0.3">
      <c r="B9" s="86" t="s">
        <v>148</v>
      </c>
      <c r="C9" s="20"/>
      <c r="E9" s="22"/>
      <c r="F9" s="37"/>
    </row>
    <row r="10" spans="2:8" ht="13.5" customHeight="1" x14ac:dyDescent="0.3">
      <c r="B10" s="86" t="s">
        <v>149</v>
      </c>
      <c r="C10" s="20"/>
      <c r="E10" s="22"/>
      <c r="F10" s="37"/>
    </row>
    <row r="11" spans="2:8" ht="13.5" customHeight="1" x14ac:dyDescent="0.3">
      <c r="B11" s="86" t="s">
        <v>150</v>
      </c>
      <c r="C11" s="20"/>
    </row>
    <row r="12" spans="2:8" ht="13.5" customHeight="1" x14ac:dyDescent="0.3">
      <c r="C12" s="20"/>
    </row>
    <row r="13" spans="2:8" ht="13.5" customHeight="1" x14ac:dyDescent="0.25"/>
    <row r="14" spans="2:8" x14ac:dyDescent="0.25">
      <c r="E14" s="107" t="s">
        <v>62</v>
      </c>
      <c r="F14" s="107">
        <v>202127</v>
      </c>
    </row>
    <row r="15" spans="2:8" ht="14" x14ac:dyDescent="0.3">
      <c r="B15" s="20"/>
      <c r="C15" s="33"/>
      <c r="E15" s="107" t="s">
        <v>316</v>
      </c>
      <c r="F15" s="23"/>
    </row>
    <row r="16" spans="2:8" x14ac:dyDescent="0.25">
      <c r="B16" s="4"/>
      <c r="C16" s="4"/>
      <c r="E16" s="107" t="s">
        <v>151</v>
      </c>
      <c r="F16" s="107"/>
    </row>
    <row r="17" spans="2:13" x14ac:dyDescent="0.25">
      <c r="B17" s="4"/>
      <c r="C17" s="4"/>
      <c r="E17" s="107"/>
      <c r="F17" s="107"/>
    </row>
    <row r="18" spans="2:13" ht="17.25" customHeight="1" x14ac:dyDescent="0.25">
      <c r="B18" s="217" t="s">
        <v>356</v>
      </c>
      <c r="C18" s="218"/>
      <c r="D18" s="218"/>
      <c r="E18" s="218"/>
      <c r="F18" s="218"/>
    </row>
    <row r="19" spans="2:13" s="26" customFormat="1" ht="20.149999999999999" customHeight="1" x14ac:dyDescent="0.25">
      <c r="B19" s="24" t="s">
        <v>15</v>
      </c>
      <c r="C19" s="24"/>
      <c r="D19" s="24" t="s">
        <v>16</v>
      </c>
      <c r="E19" s="25" t="s">
        <v>17</v>
      </c>
      <c r="F19" s="29" t="s">
        <v>5</v>
      </c>
      <c r="M19" s="4"/>
    </row>
    <row r="20" spans="2:13" s="8" customFormat="1" x14ac:dyDescent="0.2">
      <c r="B20" s="220" t="s">
        <v>357</v>
      </c>
      <c r="C20" s="223" t="s">
        <v>64</v>
      </c>
      <c r="D20" s="50" t="s">
        <v>358</v>
      </c>
      <c r="E20" s="68" t="s">
        <v>153</v>
      </c>
      <c r="F20" s="67" t="s">
        <v>154</v>
      </c>
    </row>
    <row r="21" spans="2:13" x14ac:dyDescent="0.25">
      <c r="B21" s="221"/>
      <c r="C21" s="224"/>
      <c r="D21" s="54" t="s">
        <v>359</v>
      </c>
      <c r="E21" s="93" t="s">
        <v>37</v>
      </c>
      <c r="F21" s="32" t="s">
        <v>38</v>
      </c>
    </row>
    <row r="22" spans="2:13" ht="37.5" x14ac:dyDescent="0.25">
      <c r="B22" s="108" t="s">
        <v>296</v>
      </c>
      <c r="C22" s="110" t="s">
        <v>105</v>
      </c>
      <c r="D22" s="62" t="s">
        <v>338</v>
      </c>
      <c r="E22" s="62" t="s">
        <v>131</v>
      </c>
      <c r="F22" s="100" t="s">
        <v>40</v>
      </c>
    </row>
    <row r="23" spans="2:13" x14ac:dyDescent="0.25">
      <c r="B23" s="59" t="s">
        <v>155</v>
      </c>
      <c r="C23" s="59" t="s">
        <v>360</v>
      </c>
      <c r="D23" s="94"/>
      <c r="E23" s="94"/>
      <c r="F23" s="31" t="s">
        <v>166</v>
      </c>
    </row>
    <row r="24" spans="2:13" ht="13" x14ac:dyDescent="0.25">
      <c r="B24" s="26"/>
      <c r="C24" s="26"/>
      <c r="D24" s="26"/>
      <c r="E24" s="64" t="s">
        <v>18</v>
      </c>
      <c r="F24" s="65" t="s">
        <v>361</v>
      </c>
    </row>
    <row r="25" spans="2:13" ht="13" x14ac:dyDescent="0.25">
      <c r="B25" s="26"/>
      <c r="C25" s="26"/>
      <c r="D25" s="26"/>
      <c r="E25" s="64"/>
      <c r="F25" s="116"/>
    </row>
    <row r="26" spans="2:13" ht="13" x14ac:dyDescent="0.25">
      <c r="B26" s="8" t="s">
        <v>20</v>
      </c>
      <c r="C26" s="8"/>
      <c r="D26" s="26"/>
      <c r="E26" s="64"/>
      <c r="F26" s="116"/>
    </row>
    <row r="27" spans="2:13" x14ac:dyDescent="0.25">
      <c r="B27" s="8" t="s">
        <v>21</v>
      </c>
      <c r="C27" s="8"/>
    </row>
    <row r="29" spans="2:13" x14ac:dyDescent="0.25">
      <c r="B29" s="8" t="s">
        <v>22</v>
      </c>
      <c r="C29" s="8"/>
      <c r="D29" s="8" t="s">
        <v>23</v>
      </c>
      <c r="E29" s="8"/>
      <c r="F29" s="8"/>
    </row>
  </sheetData>
  <mergeCells count="3">
    <mergeCell ref="B18:F18"/>
    <mergeCell ref="B20:B21"/>
    <mergeCell ref="C20:C21"/>
  </mergeCells>
  <hyperlinks>
    <hyperlink ref="F6" r:id="rId1" xr:uid="{63F5E539-2BA6-482E-ACC5-D2D3669212C8}"/>
  </hyperlinks>
  <pageMargins left="0.88" right="0.57999999999999996" top="0.5" bottom="0.5" header="0.5" footer="0.5"/>
  <pageSetup paperSize="9" scale="80"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D5BD-6634-4650-AD52-E2DDCC775DFB}">
  <sheetPr>
    <tabColor rgb="FF92D050"/>
    <pageSetUpPr fitToPage="1"/>
  </sheetPr>
  <dimension ref="B1:M28"/>
  <sheetViews>
    <sheetView showGridLines="0" topLeftCell="A11"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362</v>
      </c>
      <c r="F14" s="216"/>
    </row>
    <row r="15" spans="2:8" ht="14" x14ac:dyDescent="0.3">
      <c r="B15" s="20"/>
      <c r="C15" s="33"/>
      <c r="E15" s="107" t="s">
        <v>316</v>
      </c>
      <c r="F15" s="23"/>
    </row>
    <row r="16" spans="2:8" x14ac:dyDescent="0.25">
      <c r="B16" s="4"/>
      <c r="C16" s="4"/>
      <c r="E16" s="107" t="s">
        <v>184</v>
      </c>
      <c r="F16" s="107"/>
    </row>
    <row r="17" spans="2:13" x14ac:dyDescent="0.25">
      <c r="B17" s="4"/>
      <c r="C17" s="4"/>
      <c r="E17" s="107"/>
      <c r="F17" s="107"/>
    </row>
    <row r="18" spans="2:13" ht="17.25" customHeight="1" x14ac:dyDescent="0.25">
      <c r="B18" s="217" t="s">
        <v>187</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363</v>
      </c>
      <c r="C20" s="231" t="s">
        <v>364</v>
      </c>
      <c r="D20" s="111" t="s">
        <v>365</v>
      </c>
      <c r="E20" s="91" t="s">
        <v>367</v>
      </c>
      <c r="F20" s="90" t="s">
        <v>368</v>
      </c>
    </row>
    <row r="21" spans="2:13" ht="27" customHeight="1" x14ac:dyDescent="0.25">
      <c r="B21" s="225"/>
      <c r="C21" s="232"/>
      <c r="D21" s="35"/>
      <c r="E21" s="112" t="s">
        <v>366</v>
      </c>
      <c r="F21" s="31" t="s">
        <v>368</v>
      </c>
    </row>
    <row r="22" spans="2:13" ht="25" x14ac:dyDescent="0.25">
      <c r="B22" s="59" t="s">
        <v>369</v>
      </c>
      <c r="C22" s="59" t="s">
        <v>370</v>
      </c>
      <c r="D22" s="35" t="s">
        <v>365</v>
      </c>
      <c r="E22" s="109" t="s">
        <v>204</v>
      </c>
      <c r="F22" s="31">
        <v>23.4</v>
      </c>
    </row>
    <row r="23" spans="2:13" ht="13" x14ac:dyDescent="0.25">
      <c r="B23" s="26"/>
      <c r="C23" s="26"/>
      <c r="D23" s="26"/>
      <c r="E23" s="64" t="s">
        <v>18</v>
      </c>
      <c r="F23" s="65">
        <v>1303.4000000000001</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ED858267-2CD6-46DF-99A1-AA63F3B86FBE}"/>
  </hyperlinks>
  <pageMargins left="0.88" right="0.57999999999999996" top="0.5" bottom="0.5" header="0.5" footer="0.5"/>
  <pageSetup paperSize="9" scale="73"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52BF-65EB-44E5-8D15-5F4D74EB49E6}">
  <sheetPr>
    <tabColor rgb="FF92D050"/>
    <pageSetUpPr fitToPage="1"/>
  </sheetPr>
  <dimension ref="B1:M33"/>
  <sheetViews>
    <sheetView showGridLines="0" topLeftCell="A14" zoomScaleNormal="100" workbookViewId="0">
      <selection activeCell="B27" sqref="B27:E27"/>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371</v>
      </c>
      <c r="F14" s="216"/>
    </row>
    <row r="15" spans="2:8" ht="14" x14ac:dyDescent="0.3">
      <c r="B15" s="20"/>
      <c r="C15" s="33"/>
      <c r="E15" s="107" t="s">
        <v>456</v>
      </c>
      <c r="F15" s="23"/>
    </row>
    <row r="16" spans="2:8" x14ac:dyDescent="0.25">
      <c r="B16" s="4"/>
      <c r="C16" s="4"/>
      <c r="E16" s="107" t="s">
        <v>184</v>
      </c>
      <c r="F16" s="107"/>
    </row>
    <row r="17" spans="2:13" x14ac:dyDescent="0.25">
      <c r="B17" s="4"/>
      <c r="C17" s="4"/>
      <c r="E17" s="107"/>
      <c r="F17" s="107"/>
    </row>
    <row r="18" spans="2:13" ht="17.25" customHeight="1" x14ac:dyDescent="0.25">
      <c r="B18" s="217" t="s">
        <v>387</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373</v>
      </c>
      <c r="C20" s="231" t="s">
        <v>372</v>
      </c>
      <c r="D20" s="111" t="s">
        <v>374</v>
      </c>
      <c r="E20" s="91" t="s">
        <v>248</v>
      </c>
      <c r="F20" s="90" t="s">
        <v>102</v>
      </c>
    </row>
    <row r="21" spans="2:13" ht="27" customHeight="1" x14ac:dyDescent="0.25">
      <c r="B21" s="225"/>
      <c r="C21" s="232"/>
      <c r="D21" s="54" t="s">
        <v>375</v>
      </c>
      <c r="E21" s="36" t="s">
        <v>376</v>
      </c>
      <c r="F21" s="31" t="s">
        <v>102</v>
      </c>
    </row>
    <row r="22" spans="2:13" ht="14.5" customHeight="1" x14ac:dyDescent="0.25">
      <c r="B22" s="243" t="s">
        <v>378</v>
      </c>
      <c r="C22" s="223" t="s">
        <v>377</v>
      </c>
      <c r="D22" s="50" t="s">
        <v>379</v>
      </c>
      <c r="E22" s="111" t="s">
        <v>191</v>
      </c>
      <c r="F22" s="32" t="s">
        <v>53</v>
      </c>
    </row>
    <row r="23" spans="2:13" ht="14.5" customHeight="1" x14ac:dyDescent="0.25">
      <c r="B23" s="244"/>
      <c r="C23" s="241"/>
      <c r="D23" s="54" t="s">
        <v>49</v>
      </c>
      <c r="E23" s="36" t="s">
        <v>380</v>
      </c>
      <c r="F23" s="32" t="s">
        <v>53</v>
      </c>
    </row>
    <row r="24" spans="2:13" ht="14.5" customHeight="1" x14ac:dyDescent="0.25">
      <c r="B24" s="244"/>
      <c r="C24" s="241"/>
      <c r="D24" s="54" t="s">
        <v>374</v>
      </c>
      <c r="E24" s="36"/>
      <c r="F24" s="32"/>
    </row>
    <row r="25" spans="2:13" ht="14.5" customHeight="1" x14ac:dyDescent="0.25">
      <c r="B25" s="244"/>
      <c r="C25" s="241"/>
      <c r="D25" s="54" t="s">
        <v>375</v>
      </c>
      <c r="E25" s="36"/>
      <c r="F25" s="32"/>
    </row>
    <row r="26" spans="2:13" ht="14.5" customHeight="1" x14ac:dyDescent="0.25">
      <c r="B26" s="245"/>
      <c r="C26" s="242"/>
      <c r="D26" s="35"/>
      <c r="E26" s="112"/>
      <c r="F26" s="31"/>
    </row>
    <row r="27" spans="2:13" ht="25" x14ac:dyDescent="0.25">
      <c r="B27" s="59" t="s">
        <v>369</v>
      </c>
      <c r="C27" s="59" t="s">
        <v>370</v>
      </c>
      <c r="D27" s="35" t="s">
        <v>365</v>
      </c>
      <c r="E27" s="109" t="s">
        <v>381</v>
      </c>
      <c r="F27" s="31">
        <v>46.8</v>
      </c>
    </row>
    <row r="28" spans="2:13" ht="13" x14ac:dyDescent="0.25">
      <c r="B28" s="26"/>
      <c r="C28" s="26"/>
      <c r="D28" s="26"/>
      <c r="E28" s="64" t="s">
        <v>18</v>
      </c>
      <c r="F28" s="65">
        <v>1166.8</v>
      </c>
    </row>
    <row r="30" spans="2:13" ht="13" x14ac:dyDescent="0.25">
      <c r="B30" s="8" t="s">
        <v>20</v>
      </c>
      <c r="C30" s="8"/>
      <c r="D30" s="26"/>
      <c r="E30" s="64"/>
    </row>
    <row r="31" spans="2:13" x14ac:dyDescent="0.25">
      <c r="B31" s="8" t="s">
        <v>21</v>
      </c>
      <c r="C31" s="8"/>
    </row>
    <row r="33" spans="2:5" x14ac:dyDescent="0.25">
      <c r="B33" s="8" t="s">
        <v>22</v>
      </c>
      <c r="C33" s="8"/>
      <c r="D33" s="8" t="s">
        <v>23</v>
      </c>
      <c r="E33" s="8"/>
    </row>
  </sheetData>
  <mergeCells count="6">
    <mergeCell ref="E14:F14"/>
    <mergeCell ref="B18:F18"/>
    <mergeCell ref="B20:B21"/>
    <mergeCell ref="C20:C21"/>
    <mergeCell ref="C22:C26"/>
    <mergeCell ref="B22:B26"/>
  </mergeCells>
  <hyperlinks>
    <hyperlink ref="F6" r:id="rId1" xr:uid="{D987915C-1853-4C5B-8E6C-3A99290BEC9B}"/>
  </hyperlinks>
  <pageMargins left="0.88" right="0.57999999999999996" top="0.5" bottom="0.5" header="0.5" footer="0.5"/>
  <pageSetup paperSize="9" scale="73"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9022-BA23-44E3-8CDE-466AC92A2604}">
  <sheetPr>
    <tabColor rgb="FF92D050"/>
    <pageSetUpPr fitToPage="1"/>
  </sheetPr>
  <dimension ref="B1:M27"/>
  <sheetViews>
    <sheetView showGridLines="0" topLeftCell="A4"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382</v>
      </c>
      <c r="F14" s="216"/>
    </row>
    <row r="15" spans="2:8" ht="14" x14ac:dyDescent="0.3">
      <c r="B15" s="20"/>
      <c r="C15" s="33"/>
      <c r="E15" s="107" t="s">
        <v>456</v>
      </c>
      <c r="F15" s="23"/>
    </row>
    <row r="16" spans="2:8" x14ac:dyDescent="0.25">
      <c r="B16" s="4"/>
      <c r="C16" s="4"/>
      <c r="E16" s="107" t="s">
        <v>184</v>
      </c>
      <c r="F16" s="107"/>
    </row>
    <row r="17" spans="2:13" x14ac:dyDescent="0.25">
      <c r="B17" s="4"/>
      <c r="C17" s="4"/>
      <c r="E17" s="107"/>
      <c r="F17" s="107"/>
    </row>
    <row r="18" spans="2:13" ht="16" customHeight="1" x14ac:dyDescent="0.25">
      <c r="B18" s="246" t="s">
        <v>388</v>
      </c>
      <c r="C18" s="247"/>
      <c r="D18" s="247"/>
      <c r="E18" s="247"/>
      <c r="F18" s="247"/>
    </row>
    <row r="19" spans="2:13" s="26" customFormat="1" ht="18.5" customHeight="1" x14ac:dyDescent="0.25">
      <c r="B19" s="24" t="s">
        <v>15</v>
      </c>
      <c r="C19" s="24"/>
      <c r="D19" s="24" t="s">
        <v>16</v>
      </c>
      <c r="E19" s="25" t="s">
        <v>17</v>
      </c>
      <c r="F19" s="29" t="s">
        <v>5</v>
      </c>
      <c r="M19" s="4"/>
    </row>
    <row r="20" spans="2:13" s="8" customFormat="1" ht="11.5" customHeight="1" x14ac:dyDescent="0.2">
      <c r="B20" s="223" t="s">
        <v>373</v>
      </c>
      <c r="C20" s="231" t="s">
        <v>383</v>
      </c>
      <c r="D20" s="111" t="s">
        <v>384</v>
      </c>
      <c r="E20" s="91" t="s">
        <v>248</v>
      </c>
      <c r="F20" s="90" t="s">
        <v>102</v>
      </c>
    </row>
    <row r="21" spans="2:13" ht="38.5" customHeight="1" x14ac:dyDescent="0.25">
      <c r="B21" s="225"/>
      <c r="C21" s="232"/>
      <c r="D21" s="35"/>
      <c r="E21" s="112" t="s">
        <v>376</v>
      </c>
      <c r="F21" s="31" t="s">
        <v>102</v>
      </c>
    </row>
    <row r="22" spans="2:13" ht="13" x14ac:dyDescent="0.25">
      <c r="B22" s="26"/>
      <c r="C22" s="26"/>
      <c r="D22" s="26"/>
      <c r="E22" s="64" t="s">
        <v>18</v>
      </c>
      <c r="F22" s="65">
        <v>480</v>
      </c>
    </row>
    <row r="24" spans="2:13" ht="13" x14ac:dyDescent="0.25">
      <c r="B24" s="8" t="s">
        <v>20</v>
      </c>
      <c r="C24" s="8"/>
      <c r="D24" s="26"/>
      <c r="E24" s="64"/>
    </row>
    <row r="25" spans="2:13" x14ac:dyDescent="0.25">
      <c r="B25" s="8" t="s">
        <v>21</v>
      </c>
      <c r="C25" s="8"/>
    </row>
    <row r="27" spans="2:13" x14ac:dyDescent="0.25">
      <c r="B27" s="8" t="s">
        <v>22</v>
      </c>
      <c r="C27" s="8"/>
      <c r="D27" s="8" t="s">
        <v>23</v>
      </c>
      <c r="E27" s="8"/>
    </row>
  </sheetData>
  <mergeCells count="4">
    <mergeCell ref="E14:F14"/>
    <mergeCell ref="B18:F18"/>
    <mergeCell ref="B20:B21"/>
    <mergeCell ref="C20:C21"/>
  </mergeCells>
  <hyperlinks>
    <hyperlink ref="F6" r:id="rId1" xr:uid="{3DC30A73-E202-4616-89EC-C29A1D346112}"/>
  </hyperlinks>
  <pageMargins left="0.88" right="0.57999999999999996" top="0.5" bottom="0.5" header="0.5" footer="0.5"/>
  <pageSetup paperSize="9" scale="73"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BA24-E132-4AF9-BE78-51E57A9DDA56}">
  <sheetPr>
    <tabColor rgb="FF92D050"/>
    <pageSetUpPr fitToPage="1"/>
  </sheetPr>
  <dimension ref="B1:M27"/>
  <sheetViews>
    <sheetView showGridLines="0" topLeftCell="A11" zoomScaleNormal="100" workbookViewId="0">
      <selection activeCell="B18" sqref="B18:F18"/>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385</v>
      </c>
      <c r="F14" s="216"/>
    </row>
    <row r="15" spans="2:8" ht="14" x14ac:dyDescent="0.3">
      <c r="B15" s="20"/>
      <c r="C15" s="33"/>
      <c r="E15" s="107" t="s">
        <v>456</v>
      </c>
      <c r="F15" s="23"/>
    </row>
    <row r="16" spans="2:8" x14ac:dyDescent="0.25">
      <c r="B16" s="4"/>
      <c r="C16" s="4"/>
      <c r="E16" s="107" t="s">
        <v>184</v>
      </c>
      <c r="F16" s="107"/>
    </row>
    <row r="17" spans="2:13" x14ac:dyDescent="0.25">
      <c r="B17" s="4"/>
      <c r="C17" s="4"/>
      <c r="E17" s="107"/>
      <c r="F17" s="107"/>
    </row>
    <row r="18" spans="2:13" ht="17.25" customHeight="1" x14ac:dyDescent="0.25">
      <c r="B18" s="217" t="s">
        <v>389</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373</v>
      </c>
      <c r="C20" s="231" t="s">
        <v>386</v>
      </c>
      <c r="D20" s="111" t="s">
        <v>374</v>
      </c>
      <c r="E20" s="91" t="s">
        <v>248</v>
      </c>
      <c r="F20" s="90" t="s">
        <v>102</v>
      </c>
    </row>
    <row r="21" spans="2:13" ht="27" customHeight="1" x14ac:dyDescent="0.25">
      <c r="B21" s="225"/>
      <c r="C21" s="232"/>
      <c r="D21" s="35"/>
      <c r="E21" s="112" t="s">
        <v>376</v>
      </c>
      <c r="F21" s="31" t="s">
        <v>102</v>
      </c>
    </row>
    <row r="22" spans="2:13" ht="13" x14ac:dyDescent="0.25">
      <c r="B22" s="26"/>
      <c r="C22" s="26"/>
      <c r="D22" s="26"/>
      <c r="E22" s="64" t="s">
        <v>18</v>
      </c>
      <c r="F22" s="65">
        <v>480</v>
      </c>
    </row>
    <row r="24" spans="2:13" ht="13" x14ac:dyDescent="0.25">
      <c r="B24" s="8" t="s">
        <v>20</v>
      </c>
      <c r="C24" s="8"/>
      <c r="D24" s="26"/>
      <c r="E24" s="64"/>
    </row>
    <row r="25" spans="2:13" x14ac:dyDescent="0.25">
      <c r="B25" s="8" t="s">
        <v>21</v>
      </c>
      <c r="C25" s="8"/>
    </row>
    <row r="27" spans="2:13" x14ac:dyDescent="0.25">
      <c r="B27" s="8" t="s">
        <v>22</v>
      </c>
      <c r="C27" s="8"/>
      <c r="D27" s="8" t="s">
        <v>23</v>
      </c>
      <c r="E27" s="8"/>
    </row>
  </sheetData>
  <mergeCells count="4">
    <mergeCell ref="E14:F14"/>
    <mergeCell ref="B18:F18"/>
    <mergeCell ref="B20:B21"/>
    <mergeCell ref="C20:C21"/>
  </mergeCells>
  <hyperlinks>
    <hyperlink ref="F6" r:id="rId1" xr:uid="{0D815FA9-8DDA-4F33-81E2-6FA1EF1A6B98}"/>
  </hyperlinks>
  <pageMargins left="0.88" right="0.57999999999999996" top="0.5" bottom="0.5" header="0.5" footer="0.5"/>
  <pageSetup paperSize="9" scale="73"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4941-503F-415A-B4BA-4C832B17B9F6}">
  <sheetPr>
    <tabColor rgb="FF92D050"/>
    <pageSetUpPr fitToPage="1"/>
  </sheetPr>
  <dimension ref="B1:M33"/>
  <sheetViews>
    <sheetView showGridLines="0" topLeftCell="A11" zoomScaleNormal="100" workbookViewId="0">
      <selection activeCell="B28" sqref="B2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397</v>
      </c>
      <c r="F13" s="216"/>
    </row>
    <row r="14" spans="2:8" ht="14" x14ac:dyDescent="0.3">
      <c r="B14" s="20"/>
      <c r="C14" s="33"/>
      <c r="E14" s="107" t="s">
        <v>466</v>
      </c>
      <c r="F14" s="23"/>
    </row>
    <row r="15" spans="2:8" x14ac:dyDescent="0.25">
      <c r="B15" s="4"/>
      <c r="C15" s="4"/>
      <c r="E15" s="107" t="s">
        <v>396</v>
      </c>
      <c r="F15" s="107"/>
    </row>
    <row r="16" spans="2:8" x14ac:dyDescent="0.25">
      <c r="B16" s="4"/>
      <c r="C16" s="4"/>
      <c r="E16" s="107"/>
      <c r="F16" s="107"/>
    </row>
    <row r="17" spans="2:13" x14ac:dyDescent="0.25">
      <c r="B17" s="4"/>
      <c r="C17" s="4"/>
      <c r="E17" s="147"/>
      <c r="F17" s="147"/>
    </row>
    <row r="18" spans="2:13" ht="17.25" customHeight="1" x14ac:dyDescent="0.25">
      <c r="B18" s="217" t="s">
        <v>398</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5" customHeight="1" x14ac:dyDescent="0.25">
      <c r="B20" s="223" t="s">
        <v>399</v>
      </c>
      <c r="C20" s="231" t="s">
        <v>405</v>
      </c>
      <c r="D20" s="119" t="s">
        <v>401</v>
      </c>
      <c r="E20" s="91" t="s">
        <v>400</v>
      </c>
      <c r="F20" s="90" t="s">
        <v>404</v>
      </c>
      <c r="M20" s="4"/>
    </row>
    <row r="21" spans="2:13" s="26" customFormat="1" ht="17" customHeight="1" x14ac:dyDescent="0.25">
      <c r="B21" s="224"/>
      <c r="C21" s="248"/>
      <c r="D21" s="120" t="s">
        <v>402</v>
      </c>
      <c r="E21" s="57"/>
      <c r="F21" s="32"/>
      <c r="M21" s="4"/>
    </row>
    <row r="22" spans="2:13" s="26" customFormat="1" ht="14.5" customHeight="1" x14ac:dyDescent="0.25">
      <c r="B22" s="225"/>
      <c r="C22" s="232"/>
      <c r="D22" s="121" t="s">
        <v>403</v>
      </c>
      <c r="E22" s="150" t="s">
        <v>19</v>
      </c>
      <c r="F22" s="31"/>
      <c r="M22" s="4"/>
    </row>
    <row r="23" spans="2:13" ht="23" customHeight="1" x14ac:dyDescent="0.25">
      <c r="B23" s="26"/>
      <c r="C23" s="26"/>
      <c r="D23" s="26"/>
      <c r="E23" s="64" t="s">
        <v>18</v>
      </c>
      <c r="F23" s="65" t="s">
        <v>404</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5">
    <mergeCell ref="B24:E25"/>
    <mergeCell ref="E13:F13"/>
    <mergeCell ref="B20:B22"/>
    <mergeCell ref="C20:C22"/>
    <mergeCell ref="B18:F18"/>
  </mergeCells>
  <hyperlinks>
    <hyperlink ref="F6" r:id="rId1" xr:uid="{8CA06A52-1A77-4937-A26F-21B4D55058D2}"/>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07D3-B8AC-4862-8467-560A1D48D83E}">
  <sheetPr>
    <tabColor rgb="FF92D050"/>
    <pageSetUpPr fitToPage="1"/>
  </sheetPr>
  <dimension ref="B1:M48"/>
  <sheetViews>
    <sheetView showGridLines="0" zoomScaleNormal="100" workbookViewId="0">
      <selection activeCell="B8" sqref="B8:B12"/>
    </sheetView>
  </sheetViews>
  <sheetFormatPr defaultRowHeight="12.5" x14ac:dyDescent="0.25"/>
  <cols>
    <col min="1" max="1" width="12.1796875" customWidth="1"/>
    <col min="2" max="2" width="24" customWidth="1"/>
    <col min="3" max="3" width="51.81640625" customWidth="1"/>
    <col min="4" max="4" width="20" customWidth="1"/>
    <col min="5" max="5" width="9.453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408</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216" t="s">
        <v>407</v>
      </c>
      <c r="F14" s="216"/>
    </row>
    <row r="15" spans="2:8" ht="14" x14ac:dyDescent="0.3">
      <c r="B15" s="20"/>
      <c r="C15" s="33"/>
      <c r="E15" s="107" t="s">
        <v>450</v>
      </c>
      <c r="F15" s="23"/>
    </row>
    <row r="16" spans="2:8" x14ac:dyDescent="0.25">
      <c r="B16" s="4"/>
      <c r="C16" s="4"/>
      <c r="E16" s="107" t="s">
        <v>411</v>
      </c>
      <c r="F16" s="107"/>
    </row>
    <row r="17" spans="2:13" x14ac:dyDescent="0.25">
      <c r="B17" s="4"/>
      <c r="C17" s="4"/>
      <c r="E17" s="107"/>
      <c r="F17" s="107"/>
    </row>
    <row r="18" spans="2:13" ht="17.25" customHeight="1" x14ac:dyDescent="0.25">
      <c r="B18" s="217" t="s">
        <v>451</v>
      </c>
      <c r="C18" s="218"/>
      <c r="D18" s="218"/>
      <c r="E18" s="218"/>
      <c r="F18" s="218"/>
    </row>
    <row r="19" spans="2:13" s="26" customFormat="1" ht="18.5" customHeight="1" x14ac:dyDescent="0.25">
      <c r="B19" s="24" t="s">
        <v>15</v>
      </c>
      <c r="C19" s="24"/>
      <c r="D19" s="24" t="s">
        <v>16</v>
      </c>
      <c r="E19" s="25" t="s">
        <v>17</v>
      </c>
      <c r="F19" s="29" t="s">
        <v>5</v>
      </c>
      <c r="M19" s="4"/>
    </row>
    <row r="20" spans="2:13" s="26" customFormat="1" ht="15.5" customHeight="1" x14ac:dyDescent="0.25">
      <c r="B20" s="235" t="s">
        <v>417</v>
      </c>
      <c r="C20" s="250" t="s">
        <v>418</v>
      </c>
      <c r="D20" s="126" t="s">
        <v>419</v>
      </c>
      <c r="E20" s="126" t="s">
        <v>131</v>
      </c>
      <c r="F20" s="136" t="s">
        <v>40</v>
      </c>
      <c r="M20" s="4"/>
    </row>
    <row r="21" spans="2:13" s="26" customFormat="1" ht="15.5" customHeight="1" x14ac:dyDescent="0.25">
      <c r="B21" s="249"/>
      <c r="C21" s="251"/>
      <c r="D21" s="127" t="s">
        <v>135</v>
      </c>
      <c r="E21" s="127" t="s">
        <v>131</v>
      </c>
      <c r="F21" s="134" t="s">
        <v>40</v>
      </c>
      <c r="M21" s="4"/>
    </row>
    <row r="22" spans="2:13" s="26" customFormat="1" ht="24" customHeight="1" x14ac:dyDescent="0.25">
      <c r="B22" s="236"/>
      <c r="C22" s="252"/>
      <c r="D22" s="125"/>
      <c r="E22" s="78"/>
      <c r="F22" s="137"/>
      <c r="M22" s="4"/>
    </row>
    <row r="23" spans="2:13" s="26" customFormat="1" ht="80.5" customHeight="1" x14ac:dyDescent="0.25">
      <c r="B23" s="129" t="s">
        <v>423</v>
      </c>
      <c r="C23" s="129" t="s">
        <v>424</v>
      </c>
      <c r="D23" s="131" t="s">
        <v>90</v>
      </c>
      <c r="E23" s="131" t="s">
        <v>134</v>
      </c>
      <c r="F23" s="138" t="s">
        <v>81</v>
      </c>
      <c r="M23" s="4"/>
    </row>
    <row r="24" spans="2:13" s="26" customFormat="1" ht="54" customHeight="1" x14ac:dyDescent="0.25">
      <c r="B24" s="130" t="s">
        <v>440</v>
      </c>
      <c r="C24" s="130" t="s">
        <v>425</v>
      </c>
      <c r="D24" s="132" t="s">
        <v>426</v>
      </c>
      <c r="E24" s="133" t="s">
        <v>427</v>
      </c>
      <c r="F24" s="135" t="s">
        <v>428</v>
      </c>
      <c r="M24" s="4"/>
    </row>
    <row r="25" spans="2:13" s="26" customFormat="1" ht="24" customHeight="1" x14ac:dyDescent="0.25">
      <c r="B25" s="249" t="s">
        <v>429</v>
      </c>
      <c r="C25" s="249" t="s">
        <v>421</v>
      </c>
      <c r="D25" s="131" t="s">
        <v>422</v>
      </c>
      <c r="E25" s="131" t="s">
        <v>134</v>
      </c>
      <c r="F25" s="138" t="s">
        <v>81</v>
      </c>
      <c r="M25" s="4"/>
    </row>
    <row r="26" spans="2:13" s="26" customFormat="1" ht="28.5" customHeight="1" x14ac:dyDescent="0.25">
      <c r="B26" s="236"/>
      <c r="C26" s="236"/>
      <c r="D26" s="124"/>
      <c r="E26" s="127"/>
      <c r="F26" s="134"/>
      <c r="M26" s="4"/>
    </row>
    <row r="27" spans="2:13" s="8" customFormat="1" ht="15.5" customHeight="1" x14ac:dyDescent="0.2">
      <c r="B27" s="220" t="s">
        <v>433</v>
      </c>
      <c r="C27" s="231" t="s">
        <v>439</v>
      </c>
      <c r="D27" s="122" t="s">
        <v>437</v>
      </c>
      <c r="E27" s="91"/>
      <c r="F27" s="139"/>
    </row>
    <row r="28" spans="2:13" s="8" customFormat="1" ht="19.5" customHeight="1" x14ac:dyDescent="0.2">
      <c r="B28" s="221"/>
      <c r="C28" s="248"/>
      <c r="D28" s="120" t="s">
        <v>442</v>
      </c>
      <c r="E28" s="57" t="s">
        <v>52</v>
      </c>
      <c r="F28" s="146" t="s">
        <v>53</v>
      </c>
    </row>
    <row r="29" spans="2:13" s="8" customFormat="1" ht="15.5" customHeight="1" x14ac:dyDescent="0.2">
      <c r="B29" s="221"/>
      <c r="C29" s="248"/>
      <c r="D29" s="123" t="s">
        <v>438</v>
      </c>
      <c r="E29" s="57"/>
      <c r="F29" s="140"/>
    </row>
    <row r="30" spans="2:13" s="8" customFormat="1" ht="15.5" customHeight="1" x14ac:dyDescent="0.2">
      <c r="B30" s="221"/>
      <c r="C30" s="248"/>
      <c r="D30" s="128" t="s">
        <v>443</v>
      </c>
      <c r="E30" s="57" t="s">
        <v>441</v>
      </c>
      <c r="F30" s="140" t="s">
        <v>180</v>
      </c>
    </row>
    <row r="31" spans="2:13" s="8" customFormat="1" ht="15.5" customHeight="1" x14ac:dyDescent="0.2">
      <c r="B31" s="221"/>
      <c r="C31" s="248"/>
      <c r="D31" s="123" t="s">
        <v>412</v>
      </c>
      <c r="E31" s="57"/>
      <c r="F31" s="140"/>
    </row>
    <row r="32" spans="2:13" s="8" customFormat="1" ht="15.5" customHeight="1" x14ac:dyDescent="0.2">
      <c r="B32" s="221"/>
      <c r="C32" s="248"/>
      <c r="D32" s="128" t="s">
        <v>444</v>
      </c>
      <c r="E32" s="57" t="s">
        <v>441</v>
      </c>
      <c r="F32" s="140" t="s">
        <v>180</v>
      </c>
    </row>
    <row r="33" spans="2:6" s="8" customFormat="1" ht="15.5" customHeight="1" x14ac:dyDescent="0.2">
      <c r="B33" s="221"/>
      <c r="C33" s="248"/>
      <c r="D33" s="123" t="s">
        <v>415</v>
      </c>
      <c r="E33" s="57"/>
      <c r="F33" s="140"/>
    </row>
    <row r="34" spans="2:6" s="8" customFormat="1" ht="15.5" customHeight="1" x14ac:dyDescent="0.2">
      <c r="B34" s="221"/>
      <c r="C34" s="248"/>
      <c r="D34" s="128" t="s">
        <v>413</v>
      </c>
      <c r="E34" s="57" t="s">
        <v>416</v>
      </c>
      <c r="F34" s="140" t="s">
        <v>445</v>
      </c>
    </row>
    <row r="35" spans="2:6" s="8" customFormat="1" ht="15.5" customHeight="1" x14ac:dyDescent="0.2">
      <c r="B35" s="221"/>
      <c r="C35" s="248"/>
      <c r="D35" s="123" t="s">
        <v>430</v>
      </c>
      <c r="E35" s="57"/>
      <c r="F35" s="140"/>
    </row>
    <row r="36" spans="2:6" s="8" customFormat="1" ht="15.5" customHeight="1" x14ac:dyDescent="0.2">
      <c r="B36" s="221"/>
      <c r="C36" s="248"/>
      <c r="D36" s="128" t="s">
        <v>434</v>
      </c>
      <c r="E36" s="57" t="s">
        <v>416</v>
      </c>
      <c r="F36" s="140" t="s">
        <v>445</v>
      </c>
    </row>
    <row r="37" spans="2:6" s="8" customFormat="1" ht="15.5" customHeight="1" x14ac:dyDescent="0.2">
      <c r="B37" s="221"/>
      <c r="C37" s="248"/>
      <c r="D37" s="123" t="s">
        <v>431</v>
      </c>
      <c r="E37" s="57"/>
      <c r="F37" s="140"/>
    </row>
    <row r="38" spans="2:6" s="8" customFormat="1" ht="15.5" customHeight="1" x14ac:dyDescent="0.2">
      <c r="B38" s="221"/>
      <c r="C38" s="248"/>
      <c r="D38" s="128" t="s">
        <v>435</v>
      </c>
      <c r="E38" s="57" t="s">
        <v>414</v>
      </c>
      <c r="F38" s="140" t="s">
        <v>446</v>
      </c>
    </row>
    <row r="39" spans="2:6" s="8" customFormat="1" ht="15.5" customHeight="1" x14ac:dyDescent="0.2">
      <c r="B39" s="221"/>
      <c r="C39" s="248"/>
      <c r="D39" s="123" t="s">
        <v>432</v>
      </c>
      <c r="E39" s="57"/>
      <c r="F39" s="140"/>
    </row>
    <row r="40" spans="2:6" s="8" customFormat="1" ht="15.5" customHeight="1" x14ac:dyDescent="0.2">
      <c r="B40" s="221"/>
      <c r="C40" s="248"/>
      <c r="D40" s="128" t="s">
        <v>420</v>
      </c>
      <c r="E40" s="57" t="s">
        <v>416</v>
      </c>
      <c r="F40" s="145" t="s">
        <v>445</v>
      </c>
    </row>
    <row r="41" spans="2:6" s="8" customFormat="1" ht="15.5" customHeight="1" x14ac:dyDescent="0.2">
      <c r="B41" s="221"/>
      <c r="C41" s="248"/>
      <c r="D41" s="123" t="s">
        <v>436</v>
      </c>
      <c r="E41" s="57"/>
      <c r="F41" s="140"/>
    </row>
    <row r="42" spans="2:6" s="8" customFormat="1" ht="15.5" customHeight="1" x14ac:dyDescent="0.2">
      <c r="B42" s="222"/>
      <c r="C42" s="232"/>
      <c r="D42" s="144" t="s">
        <v>420</v>
      </c>
      <c r="E42" s="58" t="s">
        <v>447</v>
      </c>
      <c r="F42" s="141" t="s">
        <v>448</v>
      </c>
    </row>
    <row r="43" spans="2:6" ht="13" x14ac:dyDescent="0.25">
      <c r="B43" s="26"/>
      <c r="C43" s="26"/>
      <c r="D43" s="26"/>
      <c r="E43" s="64" t="s">
        <v>18</v>
      </c>
      <c r="F43" s="142" t="s">
        <v>449</v>
      </c>
    </row>
    <row r="44" spans="2:6" x14ac:dyDescent="0.25">
      <c r="F44" s="143"/>
    </row>
    <row r="45" spans="2:6" ht="13" x14ac:dyDescent="0.25">
      <c r="B45" s="8" t="s">
        <v>20</v>
      </c>
      <c r="C45" s="8"/>
      <c r="D45" s="26"/>
      <c r="E45" s="64"/>
      <c r="F45" s="143"/>
    </row>
    <row r="46" spans="2:6" x14ac:dyDescent="0.25">
      <c r="B46" s="8" t="s">
        <v>21</v>
      </c>
      <c r="C46" s="8"/>
    </row>
    <row r="48" spans="2:6" x14ac:dyDescent="0.25">
      <c r="B48" s="8" t="s">
        <v>22</v>
      </c>
      <c r="C48" s="8"/>
      <c r="D48" s="8" t="s">
        <v>23</v>
      </c>
      <c r="E48" s="8"/>
    </row>
  </sheetData>
  <mergeCells count="8">
    <mergeCell ref="C25:C26"/>
    <mergeCell ref="C27:C42"/>
    <mergeCell ref="B27:B42"/>
    <mergeCell ref="E14:F14"/>
    <mergeCell ref="B18:F18"/>
    <mergeCell ref="B20:B22"/>
    <mergeCell ref="C20:C22"/>
    <mergeCell ref="B25:B26"/>
  </mergeCells>
  <hyperlinks>
    <hyperlink ref="F6" r:id="rId1" xr:uid="{1C9902AF-E5F2-45D1-B5D5-73D81E28F0B2}"/>
  </hyperlinks>
  <pageMargins left="0.88" right="0.57999999999999996" top="0.5" bottom="0.5" header="0.5" footer="0.5"/>
  <pageSetup paperSize="9" scale="75"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F746-7242-407B-91E4-CCFCC5A44461}">
  <sheetPr>
    <tabColor rgb="FF92D050"/>
    <pageSetUpPr fitToPage="1"/>
  </sheetPr>
  <dimension ref="B1:M33"/>
  <sheetViews>
    <sheetView showGridLines="0" topLeftCell="A4" zoomScaleNormal="100" workbookViewId="0">
      <selection activeCell="E22" sqref="E22"/>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467</v>
      </c>
      <c r="F13" s="216"/>
    </row>
    <row r="14" spans="2:8" ht="14" x14ac:dyDescent="0.3">
      <c r="B14" s="20"/>
      <c r="C14" s="33"/>
      <c r="E14" s="147" t="s">
        <v>468</v>
      </c>
      <c r="F14" s="23"/>
    </row>
    <row r="15" spans="2:8" x14ac:dyDescent="0.25">
      <c r="B15" s="4"/>
      <c r="C15" s="4"/>
      <c r="E15" s="147" t="s">
        <v>352</v>
      </c>
      <c r="F15" s="147"/>
    </row>
    <row r="16" spans="2:8" x14ac:dyDescent="0.25">
      <c r="B16" s="4"/>
      <c r="C16" s="4"/>
      <c r="E16" s="147"/>
      <c r="F16" s="147"/>
    </row>
    <row r="17" spans="2:13" x14ac:dyDescent="0.25">
      <c r="B17" s="4"/>
      <c r="C17" s="4"/>
      <c r="E17" s="147"/>
      <c r="F17" s="147"/>
    </row>
    <row r="18" spans="2:13" ht="17.25" customHeight="1" x14ac:dyDescent="0.25">
      <c r="B18" s="217" t="s">
        <v>483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5" customHeight="1" x14ac:dyDescent="0.25">
      <c r="B20" s="220" t="s">
        <v>469</v>
      </c>
      <c r="C20" s="231" t="s">
        <v>470</v>
      </c>
      <c r="D20" s="119" t="s">
        <v>471</v>
      </c>
      <c r="E20" s="91" t="s">
        <v>134</v>
      </c>
      <c r="F20" s="97" t="s">
        <v>472</v>
      </c>
      <c r="M20" s="4"/>
    </row>
    <row r="21" spans="2:13" s="26" customFormat="1" ht="17" customHeight="1" x14ac:dyDescent="0.25">
      <c r="B21" s="222"/>
      <c r="C21" s="232"/>
      <c r="D21" s="151"/>
      <c r="E21" s="58"/>
      <c r="F21" s="95"/>
      <c r="M21" s="4"/>
    </row>
    <row r="22" spans="2:13" s="26" customFormat="1" ht="27.5" customHeight="1" x14ac:dyDescent="0.25">
      <c r="B22" s="59" t="s">
        <v>369</v>
      </c>
      <c r="C22" s="59" t="s">
        <v>484</v>
      </c>
      <c r="D22" s="35" t="s">
        <v>471</v>
      </c>
      <c r="E22" s="148" t="s">
        <v>473</v>
      </c>
      <c r="F22" s="95" t="s">
        <v>474</v>
      </c>
      <c r="M22" s="4"/>
    </row>
    <row r="23" spans="2:13" ht="23" customHeight="1" x14ac:dyDescent="0.25">
      <c r="B23" s="26"/>
      <c r="C23" s="26"/>
      <c r="D23" s="26"/>
      <c r="E23" s="64" t="s">
        <v>18</v>
      </c>
      <c r="F23" s="65" t="s">
        <v>475</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5">
    <mergeCell ref="E13:F13"/>
    <mergeCell ref="B18:F18"/>
    <mergeCell ref="B20:B21"/>
    <mergeCell ref="C20:C21"/>
    <mergeCell ref="B24:E25"/>
  </mergeCells>
  <hyperlinks>
    <hyperlink ref="F6" r:id="rId1" xr:uid="{C8069236-8957-4E0F-AA06-DA9431E8773C}"/>
  </hyperlinks>
  <pageMargins left="0.88" right="0.57999999999999996" top="0.5" bottom="0.5" header="0.5" footer="0.5"/>
  <pageSetup paperSize="9" scale="81"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E78E-AC5D-4DD3-9A63-80F99C3D652A}">
  <sheetPr>
    <tabColor rgb="FF92D050"/>
    <pageSetUpPr fitToPage="1"/>
  </sheetPr>
  <dimension ref="B1:M33"/>
  <sheetViews>
    <sheetView showGridLines="0" topLeftCell="A9" zoomScaleNormal="100" workbookViewId="0">
      <selection activeCell="B10" sqref="B10"/>
    </sheetView>
  </sheetViews>
  <sheetFormatPr defaultRowHeight="12.5" x14ac:dyDescent="0.25"/>
  <cols>
    <col min="1" max="1" width="12.1796875" customWidth="1"/>
    <col min="2" max="2" width="18.08984375" customWidth="1"/>
    <col min="3" max="3" width="54.90625" customWidth="1"/>
    <col min="4" max="4" width="12.90625" customWidth="1"/>
    <col min="5" max="5" width="10.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152" t="s">
        <v>24</v>
      </c>
      <c r="C8" s="20"/>
      <c r="F8" s="21"/>
      <c r="H8" s="13"/>
    </row>
    <row r="9" spans="2:8" ht="13.5" customHeight="1" x14ac:dyDescent="0.3">
      <c r="B9" s="152" t="s">
        <v>478</v>
      </c>
      <c r="C9" s="20"/>
      <c r="E9" s="22"/>
      <c r="F9" s="37"/>
    </row>
    <row r="10" spans="2:8" ht="13.5" customHeight="1" x14ac:dyDescent="0.3">
      <c r="B10" s="153" t="s">
        <v>479</v>
      </c>
      <c r="C10" s="20"/>
      <c r="E10" s="22"/>
      <c r="F10" s="37"/>
    </row>
    <row r="11" spans="2:8" ht="13.5" customHeight="1" x14ac:dyDescent="0.3">
      <c r="B11" s="152" t="s">
        <v>480</v>
      </c>
      <c r="C11" s="20"/>
    </row>
    <row r="12" spans="2:8" ht="13.5" customHeight="1" x14ac:dyDescent="0.3">
      <c r="C12" s="20"/>
    </row>
    <row r="13" spans="2:8" ht="13.5" customHeight="1" x14ac:dyDescent="0.25"/>
    <row r="14" spans="2:8" x14ac:dyDescent="0.25">
      <c r="E14" s="154" t="s">
        <v>62</v>
      </c>
      <c r="F14" s="154">
        <v>202135</v>
      </c>
    </row>
    <row r="15" spans="2:8" ht="14" x14ac:dyDescent="0.3">
      <c r="B15" s="20"/>
      <c r="C15" s="20"/>
      <c r="E15" s="154" t="s">
        <v>468</v>
      </c>
      <c r="F15" s="23"/>
    </row>
    <row r="16" spans="2:8" x14ac:dyDescent="0.25">
      <c r="B16" s="4"/>
      <c r="C16" s="4"/>
      <c r="E16" s="154" t="s">
        <v>482</v>
      </c>
      <c r="F16" s="154"/>
    </row>
    <row r="17" spans="2:13" x14ac:dyDescent="0.25">
      <c r="B17" s="4"/>
      <c r="C17" s="4"/>
      <c r="E17" s="154"/>
      <c r="F17" s="154"/>
    </row>
    <row r="18" spans="2:13" ht="17.25" customHeight="1" x14ac:dyDescent="0.25">
      <c r="B18" s="217" t="s">
        <v>476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80.5" customHeight="1" x14ac:dyDescent="0.25">
      <c r="B20" s="101" t="s">
        <v>152</v>
      </c>
      <c r="C20" s="155" t="s">
        <v>477</v>
      </c>
      <c r="D20" s="101" t="s">
        <v>465</v>
      </c>
      <c r="E20" s="101" t="s">
        <v>37</v>
      </c>
      <c r="F20" s="117" t="s">
        <v>38</v>
      </c>
      <c r="M20" s="4"/>
    </row>
    <row r="21" spans="2:13" s="26" customFormat="1" ht="14" customHeight="1" x14ac:dyDescent="0.25">
      <c r="B21" s="220" t="s">
        <v>327</v>
      </c>
      <c r="C21" s="220" t="s">
        <v>328</v>
      </c>
      <c r="D21" s="220" t="s">
        <v>481</v>
      </c>
      <c r="E21" s="220" t="s">
        <v>37</v>
      </c>
      <c r="F21" s="233" t="s">
        <v>81</v>
      </c>
      <c r="M21" s="4"/>
    </row>
    <row r="22" spans="2:13" s="26" customFormat="1" ht="49.5" customHeight="1" x14ac:dyDescent="0.25">
      <c r="B22" s="222"/>
      <c r="C22" s="222"/>
      <c r="D22" s="222"/>
      <c r="E22" s="222"/>
      <c r="F22" s="234"/>
      <c r="M22" s="4"/>
    </row>
    <row r="23" spans="2:13" ht="23" customHeight="1" x14ac:dyDescent="0.25">
      <c r="B23" s="26"/>
      <c r="C23" s="26"/>
      <c r="D23" s="26"/>
      <c r="E23" s="64" t="s">
        <v>18</v>
      </c>
      <c r="F23" s="65" t="s">
        <v>345</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7">
    <mergeCell ref="B24:E25"/>
    <mergeCell ref="B18:F18"/>
    <mergeCell ref="B21:B22"/>
    <mergeCell ref="C21:C22"/>
    <mergeCell ref="D21:D22"/>
    <mergeCell ref="E21:E22"/>
    <mergeCell ref="F21:F22"/>
  </mergeCells>
  <hyperlinks>
    <hyperlink ref="F6" r:id="rId1" xr:uid="{D45CC3C3-489C-4D21-BA44-BEDC2B97083D}"/>
  </hyperlinks>
  <pageMargins left="0.88" right="0.57999999999999996" top="0.5" bottom="0.5" header="0.5" footer="0.5"/>
  <pageSetup paperSize="9" scale="81"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B0B5-538E-48A8-A699-9345B4EC7EBD}">
  <sheetPr>
    <tabColor rgb="FF92D050"/>
    <pageSetUpPr fitToPage="1"/>
  </sheetPr>
  <dimension ref="B1:M30"/>
  <sheetViews>
    <sheetView showGridLines="0" topLeftCell="A14"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54" t="s">
        <v>62</v>
      </c>
      <c r="F14" s="154">
        <v>202136</v>
      </c>
    </row>
    <row r="15" spans="2:8" ht="14" x14ac:dyDescent="0.3">
      <c r="B15" s="20"/>
      <c r="C15" s="20"/>
      <c r="E15" s="154" t="s">
        <v>491</v>
      </c>
      <c r="F15" s="23"/>
    </row>
    <row r="16" spans="2:8" x14ac:dyDescent="0.25">
      <c r="B16" s="4"/>
      <c r="C16" s="4"/>
      <c r="E16" s="154" t="s">
        <v>411</v>
      </c>
      <c r="F16" s="154"/>
    </row>
    <row r="17" spans="2:13" x14ac:dyDescent="0.25">
      <c r="B17" s="4"/>
      <c r="C17" s="4"/>
      <c r="E17" s="154"/>
      <c r="F17" s="154"/>
    </row>
    <row r="18" spans="2:13" ht="17.25" customHeight="1" x14ac:dyDescent="0.25">
      <c r="B18" s="217" t="s">
        <v>492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80.5" customHeight="1" x14ac:dyDescent="0.25">
      <c r="B20" s="101" t="s">
        <v>152</v>
      </c>
      <c r="C20" s="155" t="s">
        <v>477</v>
      </c>
      <c r="D20" s="101" t="s">
        <v>494</v>
      </c>
      <c r="E20" s="101" t="s">
        <v>37</v>
      </c>
      <c r="F20" s="117" t="s">
        <v>38</v>
      </c>
      <c r="M20" s="4"/>
    </row>
    <row r="21" spans="2:13" s="26" customFormat="1" ht="14" customHeight="1" x14ac:dyDescent="0.25">
      <c r="B21" s="220" t="s">
        <v>327</v>
      </c>
      <c r="C21" s="220" t="s">
        <v>328</v>
      </c>
      <c r="D21" s="220" t="s">
        <v>493</v>
      </c>
      <c r="E21" s="220" t="s">
        <v>134</v>
      </c>
      <c r="F21" s="233" t="s">
        <v>81</v>
      </c>
      <c r="M21" s="4"/>
    </row>
    <row r="22" spans="2:13" s="26" customFormat="1" ht="49.5" customHeight="1" x14ac:dyDescent="0.25">
      <c r="B22" s="222"/>
      <c r="C22" s="222"/>
      <c r="D22" s="222"/>
      <c r="E22" s="222"/>
      <c r="F22" s="234"/>
      <c r="M22" s="4"/>
    </row>
    <row r="23" spans="2:13" ht="23" customHeight="1" x14ac:dyDescent="0.25">
      <c r="B23" s="26"/>
      <c r="C23" s="26"/>
      <c r="D23" s="26"/>
      <c r="E23" s="64" t="s">
        <v>18</v>
      </c>
      <c r="F23" s="65" t="s">
        <v>345</v>
      </c>
    </row>
    <row r="24" spans="2:13" ht="12.75" customHeight="1" x14ac:dyDescent="0.25">
      <c r="B24" s="219" t="s">
        <v>19</v>
      </c>
      <c r="C24" s="219"/>
      <c r="D24" s="219"/>
      <c r="E24" s="219"/>
      <c r="F24"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7">
    <mergeCell ref="B24:E24"/>
    <mergeCell ref="B18:F18"/>
    <mergeCell ref="B21:B22"/>
    <mergeCell ref="C21:C22"/>
    <mergeCell ref="D21:D22"/>
    <mergeCell ref="E21:E22"/>
    <mergeCell ref="F21:F22"/>
  </mergeCells>
  <hyperlinks>
    <hyperlink ref="F6" r:id="rId1" xr:uid="{C52F8ECD-FCA0-4FED-8C4B-D4A2A1443603}"/>
  </hyperlinks>
  <pageMargins left="0.88" right="0.57999999999999996" top="0.5" bottom="0.5" header="0.5" footer="0.5"/>
  <pageSetup paperSize="9" scale="79"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0CF8-FFFA-4B5A-94FB-6C3A9118B5A4}">
  <sheetPr>
    <tabColor rgb="FF92D050"/>
    <pageSetUpPr fitToPage="1"/>
  </sheetPr>
  <dimension ref="B1:M30"/>
  <sheetViews>
    <sheetView showGridLines="0" topLeftCell="A11"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453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54" t="s">
        <v>62</v>
      </c>
      <c r="F14" s="154">
        <v>202137</v>
      </c>
    </row>
    <row r="15" spans="2:8" ht="14" x14ac:dyDescent="0.3">
      <c r="B15" s="20"/>
      <c r="C15" s="20"/>
      <c r="E15" s="154" t="s">
        <v>491</v>
      </c>
      <c r="F15" s="23"/>
    </row>
    <row r="16" spans="2:8" x14ac:dyDescent="0.25">
      <c r="B16" s="4"/>
      <c r="C16" s="4"/>
      <c r="E16" s="154" t="s">
        <v>411</v>
      </c>
      <c r="F16" s="154"/>
    </row>
    <row r="17" spans="2:13" x14ac:dyDescent="0.25">
      <c r="B17" s="4"/>
      <c r="C17" s="4"/>
      <c r="E17" s="154"/>
      <c r="F17" s="154"/>
    </row>
    <row r="18" spans="2:13" ht="17.25" customHeight="1" x14ac:dyDescent="0.25">
      <c r="B18" s="217" t="s">
        <v>495</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55" t="s">
        <v>496</v>
      </c>
      <c r="D20" s="101" t="s">
        <v>498</v>
      </c>
      <c r="E20" s="101" t="s">
        <v>37</v>
      </c>
      <c r="F20" s="117" t="s">
        <v>38</v>
      </c>
      <c r="M20" s="4"/>
    </row>
    <row r="21" spans="2:13" s="26" customFormat="1" ht="14" customHeight="1" x14ac:dyDescent="0.25">
      <c r="B21" s="220" t="s">
        <v>327</v>
      </c>
      <c r="C21" s="220" t="s">
        <v>328</v>
      </c>
      <c r="D21" s="220" t="s">
        <v>497</v>
      </c>
      <c r="E21" s="220" t="s">
        <v>134</v>
      </c>
      <c r="F21" s="233" t="s">
        <v>81</v>
      </c>
      <c r="M21" s="4"/>
    </row>
    <row r="22" spans="2:13" s="26" customFormat="1" ht="49.5" customHeight="1" x14ac:dyDescent="0.25">
      <c r="B22" s="222"/>
      <c r="C22" s="222"/>
      <c r="D22" s="222"/>
      <c r="E22" s="222"/>
      <c r="F22" s="234"/>
      <c r="M22" s="4"/>
    </row>
    <row r="23" spans="2:13" ht="21" customHeight="1" x14ac:dyDescent="0.25">
      <c r="B23" s="26"/>
      <c r="C23" s="26"/>
      <c r="D23" s="26"/>
      <c r="E23" s="64" t="s">
        <v>18</v>
      </c>
      <c r="F23" s="65" t="s">
        <v>345</v>
      </c>
    </row>
    <row r="24" spans="2:13" ht="21" customHeight="1" x14ac:dyDescent="0.25">
      <c r="B24" s="26"/>
      <c r="C24" s="26"/>
      <c r="D24" s="26"/>
      <c r="E24" s="64"/>
      <c r="F24" s="11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6">
    <mergeCell ref="B18:F18"/>
    <mergeCell ref="B21:B22"/>
    <mergeCell ref="C21:C22"/>
    <mergeCell ref="D21:D22"/>
    <mergeCell ref="E21:E22"/>
    <mergeCell ref="F21:F22"/>
  </mergeCells>
  <hyperlinks>
    <hyperlink ref="F6" r:id="rId1" xr:uid="{614CE1A8-1A6F-41F6-8839-C4857BFC9A5F}"/>
  </hyperlinks>
  <pageMargins left="0.88" right="0.57999999999999996" top="0.5" bottom="0.5" header="0.5" footer="0.5"/>
  <pageSetup paperSize="9" scale="79"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EC082-D060-4E9C-A0A8-E7A73CA293C2}">
  <sheetPr>
    <tabColor rgb="FF92D050"/>
    <pageSetUpPr fitToPage="1"/>
  </sheetPr>
  <dimension ref="B1:M29"/>
  <sheetViews>
    <sheetView showGridLines="0" topLeftCell="A8"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54" t="s">
        <v>62</v>
      </c>
      <c r="F14" s="154">
        <v>202138</v>
      </c>
    </row>
    <row r="15" spans="2:8" ht="14" x14ac:dyDescent="0.3">
      <c r="B15" s="20"/>
      <c r="C15" s="20"/>
      <c r="E15" s="154" t="s">
        <v>491</v>
      </c>
      <c r="F15" s="23"/>
    </row>
    <row r="16" spans="2:8" x14ac:dyDescent="0.25">
      <c r="B16" s="4"/>
      <c r="C16" s="4"/>
      <c r="E16" s="154" t="s">
        <v>411</v>
      </c>
      <c r="F16" s="154"/>
    </row>
    <row r="17" spans="2:13" x14ac:dyDescent="0.25">
      <c r="B17" s="4"/>
      <c r="C17" s="4"/>
      <c r="E17" s="154"/>
      <c r="F17" s="154"/>
    </row>
    <row r="18" spans="2:13" ht="17.25" customHeight="1" x14ac:dyDescent="0.25">
      <c r="B18" s="217" t="s">
        <v>499</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55" t="s">
        <v>496</v>
      </c>
      <c r="D20" s="101" t="s">
        <v>500</v>
      </c>
      <c r="E20" s="101" t="s">
        <v>37</v>
      </c>
      <c r="F20" s="117" t="s">
        <v>38</v>
      </c>
      <c r="M20" s="4"/>
    </row>
    <row r="21" spans="2:13" s="26" customFormat="1" ht="14" customHeight="1" x14ac:dyDescent="0.25">
      <c r="B21" s="220" t="s">
        <v>327</v>
      </c>
      <c r="C21" s="220" t="s">
        <v>328</v>
      </c>
      <c r="D21" s="220" t="s">
        <v>497</v>
      </c>
      <c r="E21" s="220" t="s">
        <v>134</v>
      </c>
      <c r="F21" s="233" t="s">
        <v>81</v>
      </c>
      <c r="M21" s="4"/>
    </row>
    <row r="22" spans="2:13" s="26" customFormat="1" ht="49.5" customHeight="1" x14ac:dyDescent="0.25">
      <c r="B22" s="222"/>
      <c r="C22" s="222"/>
      <c r="D22" s="222"/>
      <c r="E22" s="222"/>
      <c r="F22" s="234"/>
      <c r="M22" s="4"/>
    </row>
    <row r="23" spans="2:13" ht="23" customHeight="1" x14ac:dyDescent="0.25">
      <c r="B23" s="26"/>
      <c r="C23" s="26"/>
      <c r="D23" s="26"/>
      <c r="E23" s="64" t="s">
        <v>18</v>
      </c>
      <c r="F23" s="65" t="s">
        <v>345</v>
      </c>
    </row>
    <row r="24" spans="2:13" x14ac:dyDescent="0.25">
      <c r="B24" s="8" t="s">
        <v>20</v>
      </c>
      <c r="C24" s="8"/>
    </row>
    <row r="25" spans="2:13" x14ac:dyDescent="0.25">
      <c r="B25" s="8" t="s">
        <v>21</v>
      </c>
      <c r="C25" s="8"/>
    </row>
    <row r="26" spans="2:13" x14ac:dyDescent="0.25">
      <c r="B26" s="8"/>
      <c r="C26" s="8"/>
    </row>
    <row r="27" spans="2:13" x14ac:dyDescent="0.25">
      <c r="B27" s="4"/>
      <c r="C27" s="4"/>
    </row>
    <row r="29" spans="2:13" x14ac:dyDescent="0.25">
      <c r="B29" s="8" t="s">
        <v>22</v>
      </c>
      <c r="C29" s="8"/>
      <c r="D29" s="8" t="s">
        <v>23</v>
      </c>
      <c r="E29" s="8"/>
      <c r="F29" s="8"/>
    </row>
  </sheetData>
  <mergeCells count="6">
    <mergeCell ref="B18:F18"/>
    <mergeCell ref="B21:B22"/>
    <mergeCell ref="C21:C22"/>
    <mergeCell ref="D21:D22"/>
    <mergeCell ref="E21:E22"/>
    <mergeCell ref="F21:F22"/>
  </mergeCells>
  <hyperlinks>
    <hyperlink ref="F6" r:id="rId1" xr:uid="{9D42D12F-A386-4265-A310-5C06033AB3E0}"/>
  </hyperlinks>
  <pageMargins left="0.88" right="0.57999999999999996" top="0.5" bottom="0.5" header="0.5" footer="0.5"/>
  <pageSetup paperSize="9" scale="79"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A15F-8C44-472F-8BE5-79AF2EBE5874}">
  <sheetPr>
    <tabColor rgb="FF92D050"/>
    <pageSetUpPr fitToPage="1"/>
  </sheetPr>
  <dimension ref="B1:M30"/>
  <sheetViews>
    <sheetView showGridLines="0" topLeftCell="A12"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47" t="s">
        <v>62</v>
      </c>
      <c r="F14" s="147">
        <v>202139</v>
      </c>
    </row>
    <row r="15" spans="2:8" ht="14" x14ac:dyDescent="0.3">
      <c r="B15" s="20"/>
      <c r="C15" s="20"/>
      <c r="E15" s="147" t="s">
        <v>491</v>
      </c>
      <c r="F15" s="23"/>
    </row>
    <row r="16" spans="2:8" x14ac:dyDescent="0.25">
      <c r="B16" s="4"/>
      <c r="C16" s="4"/>
      <c r="E16" s="147" t="s">
        <v>411</v>
      </c>
      <c r="F16" s="147"/>
    </row>
    <row r="17" spans="2:13" x14ac:dyDescent="0.25">
      <c r="B17" s="4"/>
      <c r="C17" s="4"/>
      <c r="E17" s="147"/>
      <c r="F17" s="147"/>
    </row>
    <row r="18" spans="2:13" ht="17.25" customHeight="1" x14ac:dyDescent="0.25">
      <c r="B18" s="217" t="s">
        <v>501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49" t="s">
        <v>496</v>
      </c>
      <c r="D20" s="101" t="s">
        <v>502</v>
      </c>
      <c r="E20" s="101" t="s">
        <v>37</v>
      </c>
      <c r="F20" s="117" t="s">
        <v>38</v>
      </c>
      <c r="M20" s="4"/>
    </row>
    <row r="21" spans="2:13" s="26" customFormat="1" ht="14" customHeight="1" x14ac:dyDescent="0.25">
      <c r="B21" s="220" t="s">
        <v>327</v>
      </c>
      <c r="C21" s="220" t="s">
        <v>328</v>
      </c>
      <c r="D21" s="220" t="s">
        <v>503</v>
      </c>
      <c r="E21" s="220" t="s">
        <v>134</v>
      </c>
      <c r="F21" s="233" t="s">
        <v>81</v>
      </c>
      <c r="M21" s="4"/>
    </row>
    <row r="22" spans="2:13" s="26" customFormat="1" ht="49.5" customHeight="1" x14ac:dyDescent="0.25">
      <c r="B22" s="222"/>
      <c r="C22" s="222"/>
      <c r="D22" s="222"/>
      <c r="E22" s="222"/>
      <c r="F22" s="234"/>
      <c r="M22" s="4"/>
    </row>
    <row r="23" spans="2:13" ht="23" customHeight="1" x14ac:dyDescent="0.25">
      <c r="B23" s="26"/>
      <c r="C23" s="26"/>
      <c r="D23" s="26"/>
      <c r="E23" s="64" t="s">
        <v>18</v>
      </c>
      <c r="F23" s="65" t="s">
        <v>345</v>
      </c>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6">
    <mergeCell ref="B18:F18"/>
    <mergeCell ref="B21:B22"/>
    <mergeCell ref="C21:C22"/>
    <mergeCell ref="D21:D22"/>
    <mergeCell ref="E21:E22"/>
    <mergeCell ref="F21:F22"/>
  </mergeCells>
  <hyperlinks>
    <hyperlink ref="F6" r:id="rId1" xr:uid="{AEDD5BE3-F549-46BF-8E2E-662345F75305}"/>
  </hyperlinks>
  <pageMargins left="0.88" right="0.57999999999999996" top="0.5" bottom="0.5" header="0.5" footer="0.5"/>
  <pageSetup paperSize="9" scale="79"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BCF8-EC2B-4C7C-B1C9-E798CE9FC30D}">
  <sheetPr>
    <tabColor rgb="FF92D050"/>
    <pageSetUpPr fitToPage="1"/>
  </sheetPr>
  <dimension ref="B1:M33"/>
  <sheetViews>
    <sheetView showGridLines="0" topLeftCell="A16" zoomScaleNormal="100" workbookViewId="0">
      <selection activeCell="C23" sqref="C23:C26"/>
    </sheetView>
  </sheetViews>
  <sheetFormatPr defaultRowHeight="12.5" x14ac:dyDescent="0.25"/>
  <cols>
    <col min="1" max="1" width="12.1796875" customWidth="1"/>
    <col min="2" max="2" width="19.81640625" customWidth="1"/>
    <col min="3" max="3" width="57.36328125" customWidth="1"/>
    <col min="4" max="4" width="11.54296875" customWidth="1"/>
    <col min="5" max="5" width="10.5429687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510</v>
      </c>
      <c r="F13" s="216"/>
    </row>
    <row r="14" spans="2:8" ht="14" x14ac:dyDescent="0.3">
      <c r="B14" s="20"/>
      <c r="C14" s="33"/>
      <c r="E14" s="154" t="s">
        <v>491</v>
      </c>
      <c r="F14" s="23"/>
    </row>
    <row r="15" spans="2:8" x14ac:dyDescent="0.25">
      <c r="B15" s="4"/>
      <c r="C15" s="4"/>
      <c r="E15" s="154" t="s">
        <v>396</v>
      </c>
      <c r="F15" s="154"/>
    </row>
    <row r="16" spans="2:8" x14ac:dyDescent="0.25">
      <c r="B16" s="4"/>
      <c r="C16" s="4"/>
      <c r="E16" s="154"/>
      <c r="F16" s="154"/>
    </row>
    <row r="17" spans="2:13" x14ac:dyDescent="0.25">
      <c r="B17" s="4"/>
      <c r="C17" s="4"/>
      <c r="E17" s="154"/>
      <c r="F17" s="154"/>
    </row>
    <row r="18" spans="2:13" ht="17.25" customHeight="1" x14ac:dyDescent="0.25">
      <c r="B18" s="217" t="s">
        <v>645</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3" customHeight="1" x14ac:dyDescent="0.25">
      <c r="B20" s="166" t="s">
        <v>513</v>
      </c>
      <c r="C20" s="166" t="s">
        <v>512</v>
      </c>
      <c r="D20" s="167" t="s">
        <v>511</v>
      </c>
      <c r="E20" s="159" t="s">
        <v>37</v>
      </c>
      <c r="F20" s="90" t="s">
        <v>38</v>
      </c>
      <c r="M20" s="4"/>
    </row>
    <row r="21" spans="2:13" s="26" customFormat="1" ht="63" customHeight="1" x14ac:dyDescent="0.25">
      <c r="B21" s="166" t="s">
        <v>514</v>
      </c>
      <c r="C21" s="166" t="s">
        <v>328</v>
      </c>
      <c r="D21" s="167" t="s">
        <v>515</v>
      </c>
      <c r="E21" s="159" t="s">
        <v>134</v>
      </c>
      <c r="F21" s="90">
        <v>200</v>
      </c>
      <c r="M21" s="4"/>
    </row>
    <row r="22" spans="2:13" s="26" customFormat="1" ht="36.5" customHeight="1" x14ac:dyDescent="0.25">
      <c r="B22" s="166" t="s">
        <v>523</v>
      </c>
      <c r="C22" s="166" t="s">
        <v>64</v>
      </c>
      <c r="D22" s="166" t="s">
        <v>516</v>
      </c>
      <c r="E22" s="158" t="s">
        <v>517</v>
      </c>
      <c r="F22" s="90" t="s">
        <v>518</v>
      </c>
      <c r="M22" s="4"/>
    </row>
    <row r="23" spans="2:13" s="26" customFormat="1" ht="14.5" customHeight="1" x14ac:dyDescent="0.25">
      <c r="B23" s="223" t="s">
        <v>519</v>
      </c>
      <c r="C23" s="231" t="s">
        <v>405</v>
      </c>
      <c r="D23" s="119" t="s">
        <v>520</v>
      </c>
      <c r="E23" s="91" t="s">
        <v>34</v>
      </c>
      <c r="F23" s="90" t="s">
        <v>35</v>
      </c>
      <c r="M23" s="4"/>
    </row>
    <row r="24" spans="2:13" s="26" customFormat="1" ht="17" customHeight="1" x14ac:dyDescent="0.25">
      <c r="B24" s="224"/>
      <c r="C24" s="248"/>
      <c r="D24" s="120" t="s">
        <v>521</v>
      </c>
      <c r="E24" s="57" t="s">
        <v>34</v>
      </c>
      <c r="F24" s="32" t="s">
        <v>35</v>
      </c>
      <c r="M24" s="4"/>
    </row>
    <row r="25" spans="2:13" s="26" customFormat="1" ht="17" customHeight="1" x14ac:dyDescent="0.25">
      <c r="B25" s="224"/>
      <c r="C25" s="248"/>
      <c r="D25" s="120" t="s">
        <v>522</v>
      </c>
      <c r="E25" s="57" t="s">
        <v>131</v>
      </c>
      <c r="F25" s="32" t="s">
        <v>40</v>
      </c>
      <c r="M25" s="4"/>
    </row>
    <row r="26" spans="2:13" s="26" customFormat="1" ht="14.5" customHeight="1" x14ac:dyDescent="0.25">
      <c r="B26" s="225"/>
      <c r="C26" s="232"/>
      <c r="D26" s="121" t="s">
        <v>497</v>
      </c>
      <c r="E26" s="157" t="s">
        <v>524</v>
      </c>
      <c r="F26" s="31" t="s">
        <v>525</v>
      </c>
      <c r="M26" s="4"/>
    </row>
    <row r="27" spans="2:13" ht="23" customHeight="1" x14ac:dyDescent="0.25">
      <c r="B27" s="26"/>
      <c r="C27" s="26"/>
      <c r="D27" s="26"/>
      <c r="E27" s="64" t="s">
        <v>18</v>
      </c>
      <c r="F27" s="65" t="s">
        <v>526</v>
      </c>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E13:F13"/>
    <mergeCell ref="B18:F18"/>
    <mergeCell ref="B23:B26"/>
    <mergeCell ref="C23:C26"/>
  </mergeCells>
  <hyperlinks>
    <hyperlink ref="F6" r:id="rId1" xr:uid="{65523561-BA93-4D21-9D05-68898C22161E}"/>
  </hyperlinks>
  <pageMargins left="0.88" right="0.57999999999999996" top="0.5" bottom="0.5" header="0.5" footer="0.5"/>
  <pageSetup paperSize="9" scale="80"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8094-7153-4DF3-B47F-1C89AEF37C6A}">
  <sheetPr>
    <tabColor rgb="FF92D050"/>
    <pageSetUpPr fitToPage="1"/>
  </sheetPr>
  <dimension ref="B1:M36"/>
  <sheetViews>
    <sheetView showGridLines="0" topLeftCell="A16" zoomScaleNormal="100" workbookViewId="0">
      <selection activeCell="C22" sqref="C22:C25"/>
    </sheetView>
  </sheetViews>
  <sheetFormatPr defaultRowHeight="12.5" x14ac:dyDescent="0.25"/>
  <cols>
    <col min="1" max="1" width="12.1796875" customWidth="1"/>
    <col min="2" max="2" width="22.90625" customWidth="1"/>
    <col min="3" max="3" width="51.81640625" customWidth="1"/>
    <col min="4" max="4" width="11.54296875" customWidth="1"/>
    <col min="5" max="5" width="13.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528</v>
      </c>
      <c r="C8" s="20"/>
      <c r="F8" s="21"/>
      <c r="H8" s="13"/>
    </row>
    <row r="9" spans="2:8" ht="13.5" customHeight="1" x14ac:dyDescent="0.3">
      <c r="B9" s="20" t="s">
        <v>529</v>
      </c>
      <c r="C9" s="20"/>
      <c r="E9" s="22"/>
      <c r="F9" s="37"/>
    </row>
    <row r="10" spans="2:8" ht="13.5" customHeight="1" x14ac:dyDescent="0.3">
      <c r="B10" s="20" t="s">
        <v>530</v>
      </c>
      <c r="C10" s="20"/>
      <c r="E10" s="22"/>
      <c r="F10" s="37"/>
    </row>
    <row r="11" spans="2:8" ht="13.5" customHeight="1" x14ac:dyDescent="0.3">
      <c r="B11" s="20" t="s">
        <v>531</v>
      </c>
      <c r="C11" s="20"/>
    </row>
    <row r="12" spans="2:8" ht="13.5" customHeight="1" x14ac:dyDescent="0.3">
      <c r="C12" s="20"/>
    </row>
    <row r="13" spans="2:8" ht="13.5" customHeight="1" x14ac:dyDescent="0.25"/>
    <row r="14" spans="2:8" x14ac:dyDescent="0.25">
      <c r="E14" s="154" t="s">
        <v>62</v>
      </c>
      <c r="F14" s="154">
        <v>202141</v>
      </c>
    </row>
    <row r="15" spans="2:8" ht="14" x14ac:dyDescent="0.3">
      <c r="B15" s="20"/>
      <c r="C15" s="20"/>
      <c r="E15" s="154" t="s">
        <v>491</v>
      </c>
      <c r="F15" s="23"/>
    </row>
    <row r="16" spans="2:8" x14ac:dyDescent="0.25">
      <c r="B16" s="4"/>
      <c r="C16" s="4"/>
      <c r="E16" s="154" t="s">
        <v>594</v>
      </c>
      <c r="F16" s="154"/>
    </row>
    <row r="17" spans="2:13" x14ac:dyDescent="0.25">
      <c r="B17" s="4"/>
      <c r="C17" s="4"/>
      <c r="E17" s="154"/>
      <c r="F17" s="154"/>
    </row>
    <row r="18" spans="2:13" ht="17.25" customHeight="1" x14ac:dyDescent="0.25">
      <c r="B18" s="217" t="s">
        <v>527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1.5" customHeight="1" x14ac:dyDescent="0.25">
      <c r="B20" s="155" t="s">
        <v>533</v>
      </c>
      <c r="C20" s="155" t="s">
        <v>546</v>
      </c>
      <c r="D20" s="101" t="s">
        <v>534</v>
      </c>
      <c r="E20" s="101" t="s">
        <v>131</v>
      </c>
      <c r="F20" s="115" t="s">
        <v>40</v>
      </c>
      <c r="M20" s="4"/>
    </row>
    <row r="21" spans="2:13" s="26" customFormat="1" ht="77" customHeight="1" x14ac:dyDescent="0.25">
      <c r="B21" s="101" t="s">
        <v>532</v>
      </c>
      <c r="C21" s="155" t="s">
        <v>547</v>
      </c>
      <c r="D21" s="101" t="s">
        <v>534</v>
      </c>
      <c r="E21" s="101" t="s">
        <v>37</v>
      </c>
      <c r="F21" s="168" t="s">
        <v>38</v>
      </c>
      <c r="M21" s="4"/>
    </row>
    <row r="22" spans="2:13" s="26" customFormat="1" ht="14" customHeight="1" x14ac:dyDescent="0.25">
      <c r="B22" s="220" t="s">
        <v>538</v>
      </c>
      <c r="C22" s="220" t="s">
        <v>535</v>
      </c>
      <c r="D22" s="50" t="s">
        <v>539</v>
      </c>
      <c r="E22" s="156" t="s">
        <v>52</v>
      </c>
      <c r="F22" s="67" t="s">
        <v>53</v>
      </c>
      <c r="M22" s="4"/>
    </row>
    <row r="23" spans="2:13" s="26" customFormat="1" ht="14" customHeight="1" x14ac:dyDescent="0.25">
      <c r="B23" s="221"/>
      <c r="C23" s="221"/>
      <c r="D23" s="54" t="s">
        <v>515</v>
      </c>
      <c r="E23" s="160" t="s">
        <v>52</v>
      </c>
      <c r="F23" s="81" t="s">
        <v>53</v>
      </c>
      <c r="M23" s="4"/>
    </row>
    <row r="24" spans="2:13" s="26" customFormat="1" ht="16.5" customHeight="1" x14ac:dyDescent="0.25">
      <c r="B24" s="221"/>
      <c r="C24" s="221"/>
      <c r="D24" s="54" t="s">
        <v>498</v>
      </c>
      <c r="E24" s="160" t="s">
        <v>52</v>
      </c>
      <c r="F24" s="81" t="s">
        <v>53</v>
      </c>
      <c r="M24" s="4"/>
    </row>
    <row r="25" spans="2:13" s="26" customFormat="1" ht="14.5" customHeight="1" x14ac:dyDescent="0.25">
      <c r="B25" s="221"/>
      <c r="C25" s="221"/>
      <c r="D25" s="54" t="s">
        <v>497</v>
      </c>
      <c r="E25" s="160" t="s">
        <v>52</v>
      </c>
      <c r="F25" s="81" t="s">
        <v>53</v>
      </c>
      <c r="M25" s="4"/>
    </row>
    <row r="26" spans="2:13" s="26" customFormat="1" ht="41" customHeight="1" x14ac:dyDescent="0.25">
      <c r="B26" s="74" t="s">
        <v>536</v>
      </c>
      <c r="C26" s="59" t="s">
        <v>537</v>
      </c>
      <c r="D26" s="77"/>
      <c r="E26" s="85" t="s">
        <v>131</v>
      </c>
      <c r="F26" s="115" t="s">
        <v>40</v>
      </c>
      <c r="M26" s="4"/>
    </row>
    <row r="27" spans="2:13" s="26" customFormat="1" ht="63.5" customHeight="1" x14ac:dyDescent="0.25">
      <c r="B27" s="74" t="s">
        <v>541</v>
      </c>
      <c r="C27" s="85" t="s">
        <v>540</v>
      </c>
      <c r="D27" s="77" t="s">
        <v>497</v>
      </c>
      <c r="E27" s="85" t="s">
        <v>37</v>
      </c>
      <c r="F27" s="82" t="s">
        <v>38</v>
      </c>
      <c r="M27" s="4"/>
    </row>
    <row r="28" spans="2:13" s="26" customFormat="1" ht="27" customHeight="1" x14ac:dyDescent="0.25">
      <c r="B28" s="59" t="s">
        <v>369</v>
      </c>
      <c r="C28" s="59" t="s">
        <v>542</v>
      </c>
      <c r="D28" s="77"/>
      <c r="E28" s="169" t="s">
        <v>543</v>
      </c>
      <c r="F28" s="84" t="s">
        <v>544</v>
      </c>
      <c r="M28" s="4"/>
    </row>
    <row r="29" spans="2:13" ht="23" customHeight="1" x14ac:dyDescent="0.25">
      <c r="B29" s="26"/>
      <c r="C29" s="26"/>
      <c r="D29" s="26"/>
      <c r="E29" s="64" t="s">
        <v>18</v>
      </c>
      <c r="F29" s="65" t="s">
        <v>545</v>
      </c>
    </row>
    <row r="31" spans="2:13" x14ac:dyDescent="0.25">
      <c r="B31" s="8" t="s">
        <v>20</v>
      </c>
      <c r="C31" s="8"/>
    </row>
    <row r="32" spans="2:13" x14ac:dyDescent="0.25">
      <c r="B32" s="8" t="s">
        <v>21</v>
      </c>
      <c r="C32" s="8"/>
    </row>
    <row r="33" spans="2:6" x14ac:dyDescent="0.25">
      <c r="B33" s="8"/>
      <c r="C33" s="8"/>
    </row>
    <row r="34" spans="2:6" x14ac:dyDescent="0.25">
      <c r="B34" s="4"/>
      <c r="C34" s="4"/>
    </row>
    <row r="36" spans="2:6" x14ac:dyDescent="0.25">
      <c r="B36" s="8" t="s">
        <v>22</v>
      </c>
      <c r="C36" s="8"/>
      <c r="D36" s="8" t="s">
        <v>23</v>
      </c>
      <c r="E36" s="8"/>
      <c r="F36" s="8"/>
    </row>
  </sheetData>
  <mergeCells count="3">
    <mergeCell ref="B18:F18"/>
    <mergeCell ref="B22:B25"/>
    <mergeCell ref="C22:C25"/>
  </mergeCells>
  <hyperlinks>
    <hyperlink ref="F6" r:id="rId1" xr:uid="{4736AEBC-DBC7-4EDF-B51B-0A811C8B7BD2}"/>
  </hyperlinks>
  <pageMargins left="0.88" right="0.57999999999999996" top="0.5" bottom="0.5" header="0.5" footer="0.5"/>
  <pageSetup paperSize="9" scale="79"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9B22-1C9B-41E0-A44E-B5CC2B7246DA}">
  <sheetPr>
    <tabColor rgb="FF92D050"/>
    <pageSetUpPr fitToPage="1"/>
  </sheetPr>
  <dimension ref="B1:M33"/>
  <sheetViews>
    <sheetView showGridLines="0" topLeftCell="A13" zoomScaleNormal="100" workbookViewId="0">
      <selection activeCell="B18" sqref="B18:F18"/>
    </sheetView>
  </sheetViews>
  <sheetFormatPr defaultRowHeight="12.5" x14ac:dyDescent="0.25"/>
  <cols>
    <col min="1" max="1" width="12.1796875" customWidth="1"/>
    <col min="2" max="2" width="24.1796875" customWidth="1"/>
    <col min="3" max="3" width="51.81640625" customWidth="1"/>
    <col min="4" max="4" width="11.5429687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548</v>
      </c>
      <c r="C8" s="20"/>
      <c r="F8" s="21"/>
      <c r="H8" s="13"/>
    </row>
    <row r="9" spans="2:8" ht="13.5" customHeight="1" x14ac:dyDescent="0.3">
      <c r="B9" s="20" t="s">
        <v>549</v>
      </c>
      <c r="C9" s="20"/>
      <c r="E9" s="22"/>
      <c r="F9" s="37"/>
    </row>
    <row r="10" spans="2:8" ht="13.5" customHeight="1" x14ac:dyDescent="0.3">
      <c r="B10" s="20" t="s">
        <v>550</v>
      </c>
      <c r="C10" s="20"/>
      <c r="E10" s="22"/>
      <c r="F10" s="37"/>
    </row>
    <row r="11" spans="2:8" ht="13.5" customHeight="1" x14ac:dyDescent="0.3">
      <c r="B11" s="20" t="s">
        <v>551</v>
      </c>
      <c r="C11" s="20"/>
    </row>
    <row r="12" spans="2:8" ht="13.5" customHeight="1" x14ac:dyDescent="0.3">
      <c r="C12" s="20"/>
    </row>
    <row r="13" spans="2:8" ht="13.5" customHeight="1" x14ac:dyDescent="0.25"/>
    <row r="14" spans="2:8" x14ac:dyDescent="0.25">
      <c r="E14" s="154" t="s">
        <v>62</v>
      </c>
      <c r="F14" s="154">
        <v>202142</v>
      </c>
    </row>
    <row r="15" spans="2:8" ht="14" x14ac:dyDescent="0.3">
      <c r="B15" s="20"/>
      <c r="C15" s="20"/>
      <c r="E15" s="154" t="s">
        <v>491</v>
      </c>
      <c r="F15" s="23"/>
    </row>
    <row r="16" spans="2:8" x14ac:dyDescent="0.25">
      <c r="B16" s="4"/>
      <c r="C16" s="4"/>
      <c r="E16" s="154" t="s">
        <v>552</v>
      </c>
      <c r="F16" s="154"/>
    </row>
    <row r="17" spans="2:13" x14ac:dyDescent="0.25">
      <c r="B17" s="4"/>
      <c r="C17" s="4"/>
      <c r="E17" s="154"/>
      <c r="F17" s="154"/>
    </row>
    <row r="18" spans="2:13" ht="17.25" customHeight="1" x14ac:dyDescent="0.25">
      <c r="B18" s="217" t="s">
        <v>554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77" customHeight="1" x14ac:dyDescent="0.25">
      <c r="B20" s="101" t="s">
        <v>555</v>
      </c>
      <c r="C20" s="155" t="s">
        <v>553</v>
      </c>
      <c r="D20" s="101" t="s">
        <v>471</v>
      </c>
      <c r="E20" s="101" t="s">
        <v>37</v>
      </c>
      <c r="F20" s="168" t="s">
        <v>38</v>
      </c>
      <c r="M20" s="4"/>
    </row>
    <row r="21" spans="2:13" s="26" customFormat="1" ht="70" customHeight="1" x14ac:dyDescent="0.25">
      <c r="B21" s="101" t="s">
        <v>327</v>
      </c>
      <c r="C21" s="166" t="s">
        <v>328</v>
      </c>
      <c r="D21" s="101" t="s">
        <v>502</v>
      </c>
      <c r="E21" s="101" t="s">
        <v>134</v>
      </c>
      <c r="F21" s="168" t="s">
        <v>81</v>
      </c>
      <c r="M21" s="4"/>
    </row>
    <row r="22" spans="2:13" s="26" customFormat="1" ht="40.5" customHeight="1" x14ac:dyDescent="0.25">
      <c r="B22" s="101" t="s">
        <v>556</v>
      </c>
      <c r="C22" s="166" t="s">
        <v>557</v>
      </c>
      <c r="D22" s="101" t="s">
        <v>558</v>
      </c>
      <c r="E22" s="101" t="s">
        <v>34</v>
      </c>
      <c r="F22" s="168" t="s">
        <v>35</v>
      </c>
      <c r="M22" s="4"/>
    </row>
    <row r="23" spans="2:13" s="26" customFormat="1" ht="14" customHeight="1" x14ac:dyDescent="0.25">
      <c r="B23" s="220" t="s">
        <v>561</v>
      </c>
      <c r="C23" s="220" t="s">
        <v>559</v>
      </c>
      <c r="D23" s="50" t="s">
        <v>503</v>
      </c>
      <c r="E23" s="156" t="s">
        <v>37</v>
      </c>
      <c r="F23" s="67" t="s">
        <v>38</v>
      </c>
      <c r="M23" s="4"/>
    </row>
    <row r="24" spans="2:13" s="26" customFormat="1" ht="14" customHeight="1" x14ac:dyDescent="0.25">
      <c r="B24" s="221"/>
      <c r="C24" s="221"/>
      <c r="D24" s="54"/>
      <c r="E24" s="160"/>
      <c r="F24" s="81"/>
      <c r="M24" s="4"/>
    </row>
    <row r="25" spans="2:13" s="26" customFormat="1" ht="41" customHeight="1" x14ac:dyDescent="0.25">
      <c r="B25" s="74" t="s">
        <v>562</v>
      </c>
      <c r="C25" s="59" t="s">
        <v>560</v>
      </c>
      <c r="D25" s="77" t="s">
        <v>503</v>
      </c>
      <c r="E25" s="85" t="s">
        <v>131</v>
      </c>
      <c r="F25" s="115" t="s">
        <v>38</v>
      </c>
      <c r="M25" s="4"/>
    </row>
    <row r="26" spans="2:13" ht="23" customHeight="1" x14ac:dyDescent="0.25">
      <c r="B26" s="26"/>
      <c r="C26" s="26"/>
      <c r="D26" s="26"/>
      <c r="E26" s="64" t="s">
        <v>18</v>
      </c>
      <c r="F26" s="65" t="s">
        <v>563</v>
      </c>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3">
    <mergeCell ref="B18:F18"/>
    <mergeCell ref="B23:B24"/>
    <mergeCell ref="C23:C24"/>
  </mergeCells>
  <hyperlinks>
    <hyperlink ref="F6" r:id="rId1" xr:uid="{6F26501C-3DAB-4C18-91AC-E97B11E1E3C0}"/>
  </hyperlinks>
  <pageMargins left="0.88" right="0.57999999999999996" top="0.5" bottom="0.5" header="0.5" footer="0.5"/>
  <pageSetup paperSize="9" scale="78"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903E-08C6-471B-8ACA-A0719E67957F}">
  <sheetPr>
    <tabColor rgb="FF92D050"/>
    <pageSetUpPr fitToPage="1"/>
  </sheetPr>
  <dimension ref="A1:M32"/>
  <sheetViews>
    <sheetView showGridLines="0" topLeftCell="A18" zoomScaleNormal="100" workbookViewId="0">
      <selection activeCell="E23" sqref="E23"/>
    </sheetView>
  </sheetViews>
  <sheetFormatPr defaultRowHeight="12.5" x14ac:dyDescent="0.25"/>
  <cols>
    <col min="1" max="1" width="12.1796875" customWidth="1"/>
    <col min="2" max="2" width="24.1796875" customWidth="1"/>
    <col min="3" max="3" width="51.81640625" customWidth="1"/>
    <col min="4" max="4" width="11.54296875" customWidth="1"/>
    <col min="5" max="5" width="13.26953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154" t="s">
        <v>62</v>
      </c>
      <c r="F14" s="154">
        <v>202143</v>
      </c>
    </row>
    <row r="15" spans="2:8" ht="14" x14ac:dyDescent="0.3">
      <c r="B15" s="20"/>
      <c r="C15" s="20"/>
      <c r="E15" s="154" t="s">
        <v>491</v>
      </c>
      <c r="F15" s="23"/>
    </row>
    <row r="16" spans="2:8" x14ac:dyDescent="0.25">
      <c r="B16" s="4"/>
      <c r="C16" s="4"/>
      <c r="E16" s="154" t="s">
        <v>72</v>
      </c>
      <c r="F16" s="154"/>
    </row>
    <row r="17" spans="1:13" x14ac:dyDescent="0.25">
      <c r="B17" s="4"/>
      <c r="C17" s="4"/>
      <c r="E17" s="154"/>
      <c r="F17" s="154"/>
    </row>
    <row r="18" spans="1:13" ht="17.25" customHeight="1" x14ac:dyDescent="0.25">
      <c r="B18" s="217" t="s">
        <v>568</v>
      </c>
      <c r="C18" s="218"/>
      <c r="D18" s="218"/>
      <c r="E18" s="218"/>
      <c r="F18" s="218"/>
    </row>
    <row r="19" spans="1:13" s="26" customFormat="1" ht="20.149999999999999" customHeight="1" x14ac:dyDescent="0.25">
      <c r="B19" s="24" t="s">
        <v>15</v>
      </c>
      <c r="C19" s="24"/>
      <c r="D19" s="24" t="s">
        <v>16</v>
      </c>
      <c r="E19" s="25" t="s">
        <v>17</v>
      </c>
      <c r="F19" s="29" t="s">
        <v>5</v>
      </c>
      <c r="M19" s="4"/>
    </row>
    <row r="20" spans="1:13" s="26" customFormat="1" ht="77" customHeight="1" x14ac:dyDescent="0.25">
      <c r="B20" s="101" t="s">
        <v>555</v>
      </c>
      <c r="C20" s="155" t="s">
        <v>569</v>
      </c>
      <c r="D20" s="101" t="s">
        <v>570</v>
      </c>
      <c r="E20" s="101" t="s">
        <v>37</v>
      </c>
      <c r="F20" s="168" t="s">
        <v>38</v>
      </c>
      <c r="M20" s="4"/>
    </row>
    <row r="21" spans="1:13" s="26" customFormat="1" ht="53.5" customHeight="1" x14ac:dyDescent="0.25">
      <c r="B21" s="101" t="s">
        <v>571</v>
      </c>
      <c r="C21" s="166" t="s">
        <v>667</v>
      </c>
      <c r="D21" s="101" t="s">
        <v>558</v>
      </c>
      <c r="E21" s="101" t="s">
        <v>34</v>
      </c>
      <c r="F21" s="168" t="s">
        <v>35</v>
      </c>
      <c r="M21" s="4"/>
    </row>
    <row r="22" spans="1:13" s="26" customFormat="1" ht="14" customHeight="1" x14ac:dyDescent="0.25">
      <c r="B22" s="220" t="s">
        <v>572</v>
      </c>
      <c r="C22" s="220" t="s">
        <v>559</v>
      </c>
      <c r="D22" s="50" t="s">
        <v>564</v>
      </c>
      <c r="E22" s="156" t="s">
        <v>37</v>
      </c>
      <c r="F22" s="67" t="s">
        <v>38</v>
      </c>
      <c r="M22" s="4"/>
    </row>
    <row r="23" spans="1:13" s="26" customFormat="1" ht="14" customHeight="1" x14ac:dyDescent="0.25">
      <c r="B23" s="221"/>
      <c r="C23" s="221"/>
      <c r="D23" s="54" t="s">
        <v>565</v>
      </c>
      <c r="E23" s="160" t="s">
        <v>37</v>
      </c>
      <c r="F23" s="81" t="s">
        <v>38</v>
      </c>
      <c r="M23" s="4"/>
    </row>
    <row r="24" spans="1:13" s="26" customFormat="1" ht="14" customHeight="1" x14ac:dyDescent="0.25">
      <c r="A24" s="26" t="s">
        <v>567</v>
      </c>
      <c r="B24" s="222"/>
      <c r="C24" s="222"/>
      <c r="D24" s="35" t="s">
        <v>566</v>
      </c>
      <c r="E24" s="157" t="s">
        <v>37</v>
      </c>
      <c r="F24" s="81" t="s">
        <v>38</v>
      </c>
      <c r="M24" s="4"/>
    </row>
    <row r="25" spans="1:13" ht="23" customHeight="1" x14ac:dyDescent="0.25">
      <c r="B25" s="26"/>
      <c r="C25" s="26"/>
      <c r="D25" s="26"/>
      <c r="E25" s="64" t="s">
        <v>18</v>
      </c>
      <c r="F25" s="170" t="s">
        <v>404</v>
      </c>
    </row>
    <row r="27" spans="1:13" x14ac:dyDescent="0.25">
      <c r="B27" s="8" t="s">
        <v>20</v>
      </c>
      <c r="C27" s="8"/>
    </row>
    <row r="28" spans="1:13" x14ac:dyDescent="0.25">
      <c r="B28" s="8" t="s">
        <v>21</v>
      </c>
      <c r="C28" s="8"/>
    </row>
    <row r="29" spans="1:13" x14ac:dyDescent="0.25">
      <c r="B29" s="8"/>
      <c r="C29" s="8"/>
    </row>
    <row r="30" spans="1:13" x14ac:dyDescent="0.25">
      <c r="B30" s="4"/>
      <c r="C30" s="4"/>
    </row>
    <row r="32" spans="1:13" x14ac:dyDescent="0.25">
      <c r="B32" s="8" t="s">
        <v>22</v>
      </c>
      <c r="C32" s="8"/>
      <c r="D32" s="8" t="s">
        <v>23</v>
      </c>
      <c r="E32" s="8"/>
      <c r="F32" s="8"/>
    </row>
  </sheetData>
  <mergeCells count="3">
    <mergeCell ref="B22:B24"/>
    <mergeCell ref="C22:C24"/>
    <mergeCell ref="B18:F18"/>
  </mergeCells>
  <hyperlinks>
    <hyperlink ref="F6" r:id="rId1" xr:uid="{5D519A08-0C5F-40DA-AD6C-0A314A2BE98A}"/>
  </hyperlinks>
  <pageMargins left="0.88" right="0.57999999999999996" top="0.5" bottom="0.5" header="0.5" footer="0.5"/>
  <pageSetup paperSize="9" scale="78"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D6326-A068-4FCD-919B-0AC38074B210}">
  <sheetPr>
    <tabColor rgb="FF92D050"/>
    <pageSetUpPr fitToPage="1"/>
  </sheetPr>
  <dimension ref="B1:M28"/>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2695312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578</v>
      </c>
      <c r="F13" s="216"/>
    </row>
    <row r="14" spans="2:8" ht="14" x14ac:dyDescent="0.3">
      <c r="B14" s="20"/>
      <c r="C14" s="33"/>
      <c r="E14" s="154" t="s">
        <v>491</v>
      </c>
      <c r="F14" s="23"/>
    </row>
    <row r="15" spans="2:8" x14ac:dyDescent="0.25">
      <c r="B15" s="4"/>
      <c r="C15" s="4"/>
      <c r="E15" s="154" t="s">
        <v>396</v>
      </c>
      <c r="F15" s="154"/>
    </row>
    <row r="16" spans="2:8" x14ac:dyDescent="0.25">
      <c r="B16" s="4"/>
      <c r="C16" s="4"/>
      <c r="E16" s="154"/>
      <c r="F16" s="154"/>
    </row>
    <row r="17" spans="2:13" x14ac:dyDescent="0.25">
      <c r="B17" s="4"/>
      <c r="C17" s="4"/>
      <c r="E17" s="154"/>
      <c r="F17" s="154"/>
    </row>
    <row r="18" spans="2:13" ht="17.25" customHeight="1" x14ac:dyDescent="0.25">
      <c r="B18" s="217" t="s">
        <v>589</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78.5" customHeight="1" x14ac:dyDescent="0.25">
      <c r="B20" s="166" t="s">
        <v>573</v>
      </c>
      <c r="C20" s="166" t="s">
        <v>569</v>
      </c>
      <c r="D20" s="167" t="s">
        <v>464</v>
      </c>
      <c r="E20" s="159" t="s">
        <v>37</v>
      </c>
      <c r="F20" s="90" t="s">
        <v>38</v>
      </c>
      <c r="M20" s="4"/>
    </row>
    <row r="21" spans="2:13" s="26" customFormat="1" ht="63.5" customHeight="1" x14ac:dyDescent="0.25">
      <c r="B21" s="171" t="s">
        <v>577</v>
      </c>
      <c r="C21" s="171" t="s">
        <v>64</v>
      </c>
      <c r="D21" s="171" t="s">
        <v>574</v>
      </c>
      <c r="E21" s="130" t="s">
        <v>575</v>
      </c>
      <c r="F21" s="63" t="s">
        <v>576</v>
      </c>
      <c r="M21" s="4"/>
    </row>
    <row r="22" spans="2:13" ht="23" customHeight="1" x14ac:dyDescent="0.25">
      <c r="B22" s="26"/>
      <c r="C22" s="26"/>
      <c r="D22" s="26"/>
      <c r="E22" s="64" t="s">
        <v>18</v>
      </c>
      <c r="F22" s="65" t="s">
        <v>404</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2">
    <mergeCell ref="E13:F13"/>
    <mergeCell ref="B18:F18"/>
  </mergeCells>
  <hyperlinks>
    <hyperlink ref="F6" r:id="rId1" xr:uid="{2E7130C4-A28D-48F0-92A4-28C871287EAC}"/>
  </hyperlinks>
  <pageMargins left="0.88" right="0.57999999999999996" top="0.5" bottom="0.5" header="0.5" footer="0.5"/>
  <pageSetup paperSize="9" scale="80"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D70C3-52B8-4191-8D1C-65981CE81BB5}">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2695312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579</v>
      </c>
      <c r="F13" s="216"/>
    </row>
    <row r="14" spans="2:8" ht="14" x14ac:dyDescent="0.3">
      <c r="B14" s="20"/>
      <c r="C14" s="33"/>
      <c r="E14" s="154" t="s">
        <v>491</v>
      </c>
      <c r="F14" s="23"/>
    </row>
    <row r="15" spans="2:8" x14ac:dyDescent="0.25">
      <c r="B15" s="4"/>
      <c r="C15" s="4"/>
      <c r="E15" s="154" t="s">
        <v>396</v>
      </c>
      <c r="F15" s="154"/>
    </row>
    <row r="16" spans="2:8" x14ac:dyDescent="0.25">
      <c r="B16" s="4"/>
      <c r="C16" s="4"/>
      <c r="E16" s="154"/>
      <c r="F16" s="154"/>
    </row>
    <row r="17" spans="2:13" x14ac:dyDescent="0.25">
      <c r="B17" s="4"/>
      <c r="C17" s="4"/>
      <c r="E17" s="154"/>
      <c r="F17" s="154"/>
    </row>
    <row r="18" spans="2:13" ht="17.25" customHeight="1" x14ac:dyDescent="0.25">
      <c r="B18" s="217" t="s">
        <v>646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78.5" customHeight="1" x14ac:dyDescent="0.25">
      <c r="B20" s="166" t="s">
        <v>573</v>
      </c>
      <c r="C20" s="166" t="s">
        <v>569</v>
      </c>
      <c r="D20" s="167" t="s">
        <v>591</v>
      </c>
      <c r="E20" s="159" t="s">
        <v>37</v>
      </c>
      <c r="F20" s="90" t="s">
        <v>38</v>
      </c>
      <c r="M20" s="4"/>
    </row>
    <row r="21" spans="2:13" s="26" customFormat="1" ht="26" customHeight="1" x14ac:dyDescent="0.25">
      <c r="B21" s="171" t="s">
        <v>577</v>
      </c>
      <c r="C21" s="171" t="s">
        <v>64</v>
      </c>
      <c r="D21" s="171" t="s">
        <v>590</v>
      </c>
      <c r="E21" s="130" t="s">
        <v>580</v>
      </c>
      <c r="F21" s="63" t="s">
        <v>581</v>
      </c>
      <c r="M21" s="4"/>
    </row>
    <row r="22" spans="2:13" ht="23" customHeight="1" x14ac:dyDescent="0.25">
      <c r="B22" s="26"/>
      <c r="C22" s="26"/>
      <c r="D22" s="26"/>
      <c r="E22" s="64" t="s">
        <v>18</v>
      </c>
      <c r="F22" s="65" t="s">
        <v>592</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2">
    <mergeCell ref="E13:F13"/>
    <mergeCell ref="B18:F18"/>
  </mergeCells>
  <hyperlinks>
    <hyperlink ref="F6" r:id="rId1" xr:uid="{06289122-C4DF-45A0-ACCB-DB2CF66FDA9B}"/>
  </hyperlinks>
  <pageMargins left="0.88" right="0.57999999999999996" top="0.5" bottom="0.5" header="0.5" footer="0.5"/>
  <pageSetup paperSize="9" scale="80"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32EB-AB53-44DE-A3CF-3600FE3CABD9}">
  <sheetPr>
    <tabColor rgb="FF92D050"/>
    <pageSetUpPr fitToPage="1"/>
  </sheetPr>
  <dimension ref="B1:M32"/>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26953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489</v>
      </c>
      <c r="C8" s="20"/>
      <c r="F8" s="21"/>
      <c r="H8" s="13"/>
    </row>
    <row r="9" spans="2:8" ht="13.5" customHeight="1" x14ac:dyDescent="0.3">
      <c r="B9" s="20" t="s">
        <v>595</v>
      </c>
      <c r="C9" s="20"/>
      <c r="E9" s="22"/>
      <c r="F9" s="37"/>
    </row>
    <row r="10" spans="2:8" ht="13.5" customHeight="1" x14ac:dyDescent="0.3">
      <c r="B10" s="20" t="s">
        <v>596</v>
      </c>
      <c r="C10" s="20"/>
      <c r="E10" s="22"/>
      <c r="F10" s="37"/>
    </row>
    <row r="11" spans="2:8" ht="13.5" customHeight="1" x14ac:dyDescent="0.3">
      <c r="B11" s="20" t="s">
        <v>597</v>
      </c>
      <c r="C11" s="20"/>
    </row>
    <row r="12" spans="2:8" ht="13.5" customHeight="1" x14ac:dyDescent="0.3">
      <c r="C12" s="20"/>
    </row>
    <row r="13" spans="2:8" ht="13.5" customHeight="1" x14ac:dyDescent="0.25"/>
    <row r="14" spans="2:8" x14ac:dyDescent="0.25">
      <c r="E14" s="154" t="s">
        <v>62</v>
      </c>
      <c r="F14" s="154">
        <v>202146</v>
      </c>
    </row>
    <row r="15" spans="2:8" ht="14" x14ac:dyDescent="0.3">
      <c r="B15" s="20"/>
      <c r="C15" s="20"/>
      <c r="E15" s="154" t="s">
        <v>491</v>
      </c>
      <c r="F15" s="23"/>
    </row>
    <row r="16" spans="2:8" x14ac:dyDescent="0.25">
      <c r="B16" s="4"/>
      <c r="C16" s="4"/>
      <c r="E16" s="154" t="s">
        <v>352</v>
      </c>
      <c r="F16" s="154"/>
    </row>
    <row r="17" spans="2:13" x14ac:dyDescent="0.25">
      <c r="B17" s="4"/>
      <c r="C17" s="4"/>
      <c r="E17" s="154"/>
      <c r="F17" s="154"/>
    </row>
    <row r="18" spans="2:13" ht="17.25" customHeight="1" x14ac:dyDescent="0.25">
      <c r="B18" s="217" t="s">
        <v>647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220" t="s">
        <v>598</v>
      </c>
      <c r="C20" s="220" t="s">
        <v>354</v>
      </c>
      <c r="D20" s="50" t="s">
        <v>520</v>
      </c>
      <c r="E20" s="156" t="s">
        <v>34</v>
      </c>
      <c r="F20" s="67" t="s">
        <v>35</v>
      </c>
      <c r="M20" s="4"/>
    </row>
    <row r="21" spans="2:13" s="26" customFormat="1" ht="14" customHeight="1" x14ac:dyDescent="0.25">
      <c r="B21" s="222"/>
      <c r="C21" s="222"/>
      <c r="D21" s="35"/>
      <c r="E21" s="157"/>
      <c r="F21" s="84"/>
      <c r="M21" s="4"/>
    </row>
    <row r="22" spans="2:13" ht="23" customHeight="1" x14ac:dyDescent="0.25">
      <c r="B22" s="26"/>
      <c r="C22" s="26"/>
      <c r="D22" s="26"/>
      <c r="E22" s="64" t="s">
        <v>18</v>
      </c>
      <c r="F22" s="65" t="s">
        <v>35</v>
      </c>
    </row>
    <row r="23" spans="2:13" ht="12.75" customHeight="1" x14ac:dyDescent="0.25">
      <c r="B23" s="219" t="s">
        <v>19</v>
      </c>
      <c r="C23" s="219"/>
      <c r="D23" s="219"/>
      <c r="E23" s="219"/>
      <c r="F23" s="26"/>
    </row>
    <row r="24" spans="2:13" x14ac:dyDescent="0.25">
      <c r="B24" s="219"/>
      <c r="C24" s="219"/>
      <c r="D24" s="219"/>
      <c r="E24" s="219"/>
      <c r="F24" s="26"/>
    </row>
    <row r="25" spans="2:13" s="8" customFormat="1" x14ac:dyDescent="0.25">
      <c r="B25"/>
      <c r="C25"/>
      <c r="D25"/>
      <c r="E25"/>
      <c r="F25"/>
    </row>
    <row r="27" spans="2:13" x14ac:dyDescent="0.25">
      <c r="B27" s="8" t="s">
        <v>20</v>
      </c>
      <c r="C27" s="8"/>
    </row>
    <row r="28" spans="2:13" x14ac:dyDescent="0.25">
      <c r="B28" s="8" t="s">
        <v>21</v>
      </c>
      <c r="C28" s="8"/>
    </row>
    <row r="29" spans="2:13" x14ac:dyDescent="0.25">
      <c r="B29" s="8"/>
      <c r="C29" s="8"/>
    </row>
    <row r="30" spans="2:13" x14ac:dyDescent="0.25">
      <c r="B30" s="4"/>
      <c r="C30" s="4"/>
    </row>
    <row r="32" spans="2:13" x14ac:dyDescent="0.25">
      <c r="B32" s="8" t="s">
        <v>22</v>
      </c>
      <c r="C32" s="8"/>
      <c r="D32" s="8" t="s">
        <v>23</v>
      </c>
      <c r="E32" s="8"/>
      <c r="F32" s="8"/>
    </row>
  </sheetData>
  <mergeCells count="4">
    <mergeCell ref="B18:F18"/>
    <mergeCell ref="B20:B21"/>
    <mergeCell ref="C20:C21"/>
    <mergeCell ref="B23:E24"/>
  </mergeCells>
  <hyperlinks>
    <hyperlink ref="F6" r:id="rId1" xr:uid="{ED04B4F4-1D83-43A9-93A5-02E36B59DB51}"/>
  </hyperlinks>
  <pageMargins left="0.88" right="0.57999999999999996" top="0.5" bottom="0.5" header="0.5" footer="0.5"/>
  <pageSetup paperSize="9" scale="81"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4ECEB-6B8B-4972-997E-87DCF8B55DD5}">
  <sheetPr>
    <tabColor rgb="FF92D050"/>
    <pageSetUpPr fitToPage="1"/>
  </sheetPr>
  <dimension ref="B1:M31"/>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85</v>
      </c>
      <c r="C8" s="20"/>
      <c r="F8" s="21"/>
      <c r="H8" s="13"/>
    </row>
    <row r="9" spans="2:8" ht="13.5" customHeight="1" x14ac:dyDescent="0.3">
      <c r="B9" s="49" t="s">
        <v>86</v>
      </c>
      <c r="C9" s="20"/>
      <c r="E9" s="22"/>
      <c r="F9" s="37"/>
    </row>
    <row r="10" spans="2:8" ht="13.5" customHeight="1" x14ac:dyDescent="0.3">
      <c r="B10" s="4" t="s">
        <v>87</v>
      </c>
      <c r="C10" s="20"/>
      <c r="E10" s="22"/>
      <c r="F10" s="37"/>
    </row>
    <row r="11" spans="2:8" ht="13.5" customHeight="1" x14ac:dyDescent="0.3">
      <c r="B11" s="4" t="s">
        <v>88</v>
      </c>
      <c r="C11" s="20"/>
    </row>
    <row r="12" spans="2:8" ht="13.5" customHeight="1" x14ac:dyDescent="0.3">
      <c r="C12" s="20"/>
    </row>
    <row r="13" spans="2:8" ht="13.5" customHeight="1" x14ac:dyDescent="0.25"/>
    <row r="14" spans="2:8" x14ac:dyDescent="0.25">
      <c r="E14" s="154" t="s">
        <v>62</v>
      </c>
      <c r="F14" s="154">
        <v>202147</v>
      </c>
    </row>
    <row r="15" spans="2:8" ht="14" x14ac:dyDescent="0.3">
      <c r="B15" s="20"/>
      <c r="C15" s="33"/>
      <c r="E15" s="154" t="s">
        <v>491</v>
      </c>
      <c r="F15" s="23"/>
    </row>
    <row r="16" spans="2:8" x14ac:dyDescent="0.25">
      <c r="B16" s="4"/>
      <c r="C16" s="4"/>
      <c r="E16" s="154" t="s">
        <v>89</v>
      </c>
      <c r="F16" s="154"/>
    </row>
    <row r="17" spans="2:13" x14ac:dyDescent="0.25">
      <c r="B17" s="4"/>
      <c r="C17" s="4"/>
      <c r="E17" s="154"/>
      <c r="F17" s="154"/>
    </row>
    <row r="18" spans="2:13" ht="17.25" customHeight="1" x14ac:dyDescent="0.25">
      <c r="B18" s="217" t="s">
        <v>321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9" customHeight="1" x14ac:dyDescent="0.25">
      <c r="B20" s="59" t="s">
        <v>600</v>
      </c>
      <c r="C20" s="59" t="s">
        <v>64</v>
      </c>
      <c r="D20" s="77" t="s">
        <v>599</v>
      </c>
      <c r="E20" s="172" t="s">
        <v>32</v>
      </c>
      <c r="F20" s="82" t="s">
        <v>33</v>
      </c>
      <c r="M20" s="4"/>
    </row>
    <row r="21" spans="2:13" ht="12.75" customHeight="1" x14ac:dyDescent="0.25">
      <c r="B21" s="26"/>
      <c r="C21" s="26"/>
      <c r="D21" s="26"/>
      <c r="E21" s="64" t="s">
        <v>18</v>
      </c>
      <c r="F21" s="65">
        <v>120</v>
      </c>
    </row>
    <row r="22" spans="2:13" x14ac:dyDescent="0.25">
      <c r="B22" s="219" t="s">
        <v>19</v>
      </c>
      <c r="C22" s="219"/>
      <c r="D22" s="219"/>
      <c r="E22" s="219"/>
      <c r="F22" s="26"/>
    </row>
    <row r="23" spans="2:13" s="8" customFormat="1" x14ac:dyDescent="0.2">
      <c r="B23" s="219"/>
      <c r="C23" s="219"/>
      <c r="D23" s="219"/>
      <c r="E23" s="219"/>
      <c r="F23" s="26"/>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2">
    <mergeCell ref="B18:F18"/>
    <mergeCell ref="B22:E23"/>
  </mergeCells>
  <hyperlinks>
    <hyperlink ref="F6" r:id="rId1" xr:uid="{318E009F-5CF9-4719-AA9A-C656AC3E74C8}"/>
  </hyperlinks>
  <pageMargins left="0.88" right="0.57999999999999996" top="0.5" bottom="0.5" header="0.5" footer="0.5"/>
  <pageSetup paperSize="9" scale="81"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DF00-1CED-4BD3-806E-B02DA725174D}">
  <sheetPr>
    <tabColor rgb="FF92D050"/>
    <pageSetUpPr fitToPage="1"/>
  </sheetPr>
  <dimension ref="B1:M28"/>
  <sheetViews>
    <sheetView showGridLines="0" topLeftCell="A12" zoomScaleNormal="100" workbookViewId="0">
      <selection activeCell="B18" sqref="B18:F18"/>
    </sheetView>
  </sheetViews>
  <sheetFormatPr defaultRowHeight="12.5" x14ac:dyDescent="0.25"/>
  <cols>
    <col min="1" max="1" width="10.90625" customWidth="1"/>
    <col min="2" max="2" width="32.6328125"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601</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648</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602</v>
      </c>
      <c r="C20" s="231" t="s">
        <v>603</v>
      </c>
      <c r="D20" s="50">
        <v>44435</v>
      </c>
      <c r="E20" s="91" t="s">
        <v>248</v>
      </c>
      <c r="F20" s="90" t="s">
        <v>604</v>
      </c>
    </row>
    <row r="21" spans="2:13" ht="40.5" customHeight="1" x14ac:dyDescent="0.25">
      <c r="B21" s="225"/>
      <c r="C21" s="232"/>
      <c r="D21" s="35"/>
      <c r="E21" s="164" t="s">
        <v>376</v>
      </c>
      <c r="F21" s="31" t="s">
        <v>606</v>
      </c>
    </row>
    <row r="22" spans="2:13" ht="22.5" customHeight="1" x14ac:dyDescent="0.25">
      <c r="B22" s="59" t="s">
        <v>369</v>
      </c>
      <c r="C22" s="85" t="s">
        <v>612</v>
      </c>
      <c r="D22" s="77" t="s">
        <v>605</v>
      </c>
      <c r="E22" s="85"/>
      <c r="F22" s="31" t="s">
        <v>166</v>
      </c>
    </row>
    <row r="23" spans="2:13" ht="13" x14ac:dyDescent="0.25">
      <c r="B23" s="26"/>
      <c r="C23" s="26"/>
      <c r="D23" s="26"/>
      <c r="E23" s="64" t="s">
        <v>18</v>
      </c>
      <c r="F23" s="65">
        <v>522</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829E0F1C-89CE-4250-AD1E-D94C5B7296DC}"/>
  </hyperlinks>
  <pageMargins left="0.88" right="0.57999999999999996" top="0.5" bottom="0.5" header="0.5" footer="0.5"/>
  <pageSetup paperSize="9" scale="68"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40C7-856F-4394-ADC8-43E2784C0EF5}">
  <sheetPr>
    <tabColor rgb="FF92D050"/>
    <pageSetUpPr fitToPage="1"/>
  </sheetPr>
  <dimension ref="B1:M28"/>
  <sheetViews>
    <sheetView showGridLines="0" topLeftCell="A10" zoomScaleNormal="100" workbookViewId="0">
      <selection activeCell="B18" sqref="B18:F18"/>
    </sheetView>
  </sheetViews>
  <sheetFormatPr defaultRowHeight="12.5" x14ac:dyDescent="0.25"/>
  <cols>
    <col min="1" max="1" width="10.90625" customWidth="1"/>
    <col min="2" max="2" width="32.6328125"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607</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649</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602</v>
      </c>
      <c r="C20" s="231" t="s">
        <v>610</v>
      </c>
      <c r="D20" s="50">
        <v>44440</v>
      </c>
      <c r="E20" s="91" t="s">
        <v>608</v>
      </c>
      <c r="F20" s="90" t="s">
        <v>518</v>
      </c>
    </row>
    <row r="21" spans="2:13" ht="29.5" customHeight="1" x14ac:dyDescent="0.25">
      <c r="B21" s="225"/>
      <c r="C21" s="232"/>
      <c r="D21" s="35"/>
      <c r="E21" s="164" t="s">
        <v>609</v>
      </c>
      <c r="F21" s="31" t="s">
        <v>38</v>
      </c>
    </row>
    <row r="22" spans="2:13" ht="22.5" customHeight="1" x14ac:dyDescent="0.25">
      <c r="B22" s="59" t="s">
        <v>369</v>
      </c>
      <c r="C22" s="85" t="s">
        <v>611</v>
      </c>
      <c r="D22" s="77" t="s">
        <v>613</v>
      </c>
      <c r="E22" s="85"/>
      <c r="F22" s="31">
        <v>2.25</v>
      </c>
    </row>
    <row r="23" spans="2:13" ht="13" x14ac:dyDescent="0.25">
      <c r="B23" s="26"/>
      <c r="C23" s="26"/>
      <c r="D23" s="26"/>
      <c r="E23" s="64" t="s">
        <v>18</v>
      </c>
      <c r="F23" s="65">
        <v>322.25</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E11567BA-3317-4DB9-8EF5-5DB9785C1FF4}"/>
  </hyperlinks>
  <pageMargins left="0.88" right="0.57999999999999996" top="0.5" bottom="0.5" header="0.5" footer="0.5"/>
  <pageSetup paperSize="9" scale="68"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BC07-D950-4AA8-B312-95437572746A}">
  <sheetPr>
    <tabColor rgb="FF92D050"/>
    <pageSetUpPr fitToPage="1"/>
  </sheetPr>
  <dimension ref="B1:M33"/>
  <sheetViews>
    <sheetView showGridLines="0" topLeftCell="A18" zoomScaleNormal="100" workbookViewId="0">
      <selection activeCell="C17" sqref="C17"/>
    </sheetView>
  </sheetViews>
  <sheetFormatPr defaultRowHeight="12.5" x14ac:dyDescent="0.25"/>
  <cols>
    <col min="1" max="1" width="12.1796875" customWidth="1"/>
    <col min="2" max="2" width="24" customWidth="1"/>
    <col min="3" max="3" width="51.81640625" customWidth="1"/>
    <col min="4" max="4" width="14" customWidth="1"/>
    <col min="5" max="5" width="21.90625" customWidth="1"/>
    <col min="6" max="6" width="10.269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614</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650</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615</v>
      </c>
      <c r="C20" s="231" t="s">
        <v>655</v>
      </c>
      <c r="D20" s="163" t="s">
        <v>558</v>
      </c>
      <c r="E20" s="91" t="s">
        <v>191</v>
      </c>
      <c r="F20" s="90" t="s">
        <v>53</v>
      </c>
    </row>
    <row r="21" spans="2:13" ht="27" customHeight="1" x14ac:dyDescent="0.25">
      <c r="B21" s="225"/>
      <c r="C21" s="232"/>
      <c r="D21" s="54" t="s">
        <v>616</v>
      </c>
      <c r="E21" s="165" t="s">
        <v>380</v>
      </c>
      <c r="F21" s="31" t="s">
        <v>53</v>
      </c>
    </row>
    <row r="22" spans="2:13" ht="14.5" customHeight="1" x14ac:dyDescent="0.25">
      <c r="B22" s="243" t="s">
        <v>378</v>
      </c>
      <c r="C22" s="223" t="s">
        <v>377</v>
      </c>
      <c r="D22" s="50" t="s">
        <v>617</v>
      </c>
      <c r="E22" s="163" t="s">
        <v>191</v>
      </c>
      <c r="F22" s="90" t="s">
        <v>53</v>
      </c>
    </row>
    <row r="23" spans="2:13" ht="14.5" customHeight="1" x14ac:dyDescent="0.25">
      <c r="B23" s="244"/>
      <c r="C23" s="241"/>
      <c r="D23" s="54" t="s">
        <v>618</v>
      </c>
      <c r="E23" s="165" t="s">
        <v>380</v>
      </c>
      <c r="F23" s="32" t="s">
        <v>53</v>
      </c>
    </row>
    <row r="24" spans="2:13" ht="14.5" customHeight="1" x14ac:dyDescent="0.25">
      <c r="B24" s="244"/>
      <c r="C24" s="241"/>
      <c r="D24" s="54" t="s">
        <v>616</v>
      </c>
      <c r="E24" s="165"/>
      <c r="F24" s="31"/>
    </row>
    <row r="25" spans="2:13" ht="14.5" customHeight="1" x14ac:dyDescent="0.25">
      <c r="B25" s="243" t="s">
        <v>619</v>
      </c>
      <c r="C25" s="220" t="s">
        <v>620</v>
      </c>
      <c r="D25" s="50" t="s">
        <v>621</v>
      </c>
      <c r="E25" s="163" t="s">
        <v>191</v>
      </c>
      <c r="F25" s="32" t="s">
        <v>53</v>
      </c>
    </row>
    <row r="26" spans="2:13" ht="26" customHeight="1" x14ac:dyDescent="0.25">
      <c r="B26" s="245"/>
      <c r="C26" s="245"/>
      <c r="D26" s="35"/>
      <c r="E26" s="165" t="s">
        <v>380</v>
      </c>
      <c r="F26" s="32" t="s">
        <v>53</v>
      </c>
    </row>
    <row r="27" spans="2:13" ht="18.5" customHeight="1" x14ac:dyDescent="0.25">
      <c r="B27" s="59" t="s">
        <v>155</v>
      </c>
      <c r="C27" s="59" t="s">
        <v>370</v>
      </c>
      <c r="D27" s="77" t="s">
        <v>365</v>
      </c>
      <c r="E27" s="59" t="s">
        <v>381</v>
      </c>
      <c r="F27" s="63">
        <v>46.8</v>
      </c>
    </row>
    <row r="28" spans="2:13" ht="13" x14ac:dyDescent="0.25">
      <c r="B28" s="26"/>
      <c r="C28" s="26"/>
      <c r="D28" s="26"/>
      <c r="E28" s="64" t="s">
        <v>18</v>
      </c>
      <c r="F28" s="65">
        <v>1966.8</v>
      </c>
    </row>
    <row r="30" spans="2:13" ht="13" x14ac:dyDescent="0.25">
      <c r="B30" s="8" t="s">
        <v>20</v>
      </c>
      <c r="C30" s="8"/>
      <c r="D30" s="26"/>
      <c r="E30" s="64"/>
    </row>
    <row r="31" spans="2:13" x14ac:dyDescent="0.25">
      <c r="B31" s="8" t="s">
        <v>21</v>
      </c>
      <c r="C31" s="8"/>
    </row>
    <row r="33" spans="2:5" x14ac:dyDescent="0.25">
      <c r="B33" s="8" t="s">
        <v>22</v>
      </c>
      <c r="C33" s="8"/>
      <c r="D33" s="8" t="s">
        <v>23</v>
      </c>
      <c r="E33" s="8"/>
    </row>
  </sheetData>
  <mergeCells count="8">
    <mergeCell ref="B25:B26"/>
    <mergeCell ref="C25:C26"/>
    <mergeCell ref="E14:F14"/>
    <mergeCell ref="B18:F18"/>
    <mergeCell ref="B20:B21"/>
    <mergeCell ref="C20:C21"/>
    <mergeCell ref="B22:B24"/>
    <mergeCell ref="C22:C24"/>
  </mergeCells>
  <hyperlinks>
    <hyperlink ref="F6" r:id="rId1" xr:uid="{588E05C0-B602-431D-8972-A58D04860B94}"/>
  </hyperlinks>
  <pageMargins left="0.88" right="0.57999999999999996" top="0.5" bottom="0.5" header="0.5" footer="0.5"/>
  <pageSetup paperSize="9" scale="72"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E48B8-07D8-4DB3-AF49-3691DE89E80D}">
  <sheetPr>
    <tabColor rgb="FF92D050"/>
    <pageSetUpPr fitToPage="1"/>
  </sheetPr>
  <dimension ref="B1:M28"/>
  <sheetViews>
    <sheetView showGridLines="0" topLeftCell="A2" zoomScaleNormal="100" workbookViewId="0">
      <selection activeCell="C11" sqref="B8:C11"/>
    </sheetView>
  </sheetViews>
  <sheetFormatPr defaultRowHeight="12.5" x14ac:dyDescent="0.25"/>
  <cols>
    <col min="1" max="1" width="12.1796875" customWidth="1"/>
    <col min="2" max="2" width="24"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622</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651</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363</v>
      </c>
      <c r="C20" s="231" t="s">
        <v>623</v>
      </c>
      <c r="D20" s="163" t="s">
        <v>624</v>
      </c>
      <c r="E20" s="91" t="s">
        <v>625</v>
      </c>
      <c r="F20" s="90" t="s">
        <v>313</v>
      </c>
    </row>
    <row r="21" spans="2:13" ht="27" customHeight="1" x14ac:dyDescent="0.25">
      <c r="B21" s="225"/>
      <c r="C21" s="232"/>
      <c r="D21" s="35" t="s">
        <v>627</v>
      </c>
      <c r="E21" s="164" t="s">
        <v>626</v>
      </c>
      <c r="F21" s="31" t="s">
        <v>313</v>
      </c>
    </row>
    <row r="22" spans="2:13" ht="25" x14ac:dyDescent="0.25">
      <c r="B22" s="59" t="s">
        <v>369</v>
      </c>
      <c r="C22" s="59" t="s">
        <v>370</v>
      </c>
      <c r="D22" s="35" t="s">
        <v>627</v>
      </c>
      <c r="E22" s="162" t="s">
        <v>204</v>
      </c>
      <c r="F22" s="31">
        <v>23.4</v>
      </c>
    </row>
    <row r="23" spans="2:13" ht="13" x14ac:dyDescent="0.25">
      <c r="B23" s="26"/>
      <c r="C23" s="26"/>
      <c r="D23" s="26"/>
      <c r="E23" s="64" t="s">
        <v>18</v>
      </c>
      <c r="F23" s="65">
        <v>1463.4</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11A0D093-1FCC-4E39-9135-2927B5A6C04C}"/>
  </hyperlinks>
  <pageMargins left="0.88" right="0.57999999999999996" top="0.5" bottom="0.5" header="0.5" footer="0.5"/>
  <pageSetup paperSize="9" scale="73"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84BD-8A65-4480-B68F-592BD5BAA767}">
  <sheetPr>
    <tabColor rgb="FF92D050"/>
    <pageSetUpPr fitToPage="1"/>
  </sheetPr>
  <dimension ref="B1:M28"/>
  <sheetViews>
    <sheetView showGridLines="0" topLeftCell="A22" zoomScaleNormal="100" workbookViewId="0">
      <selection activeCell="B18" sqref="B18:F18"/>
    </sheetView>
  </sheetViews>
  <sheetFormatPr defaultRowHeight="12.5" x14ac:dyDescent="0.25"/>
  <cols>
    <col min="1" max="1" width="10.90625" customWidth="1"/>
    <col min="2" max="2" width="32.6328125"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628</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652</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631</v>
      </c>
      <c r="C20" s="231" t="s">
        <v>630</v>
      </c>
      <c r="D20" s="50">
        <v>44473</v>
      </c>
      <c r="E20" s="91" t="s">
        <v>635</v>
      </c>
      <c r="F20" s="90" t="s">
        <v>636</v>
      </c>
    </row>
    <row r="21" spans="2:13" ht="27" customHeight="1" x14ac:dyDescent="0.25">
      <c r="B21" s="225"/>
      <c r="C21" s="232"/>
      <c r="D21" s="35"/>
      <c r="E21" s="164" t="s">
        <v>240</v>
      </c>
      <c r="F21" s="31" t="s">
        <v>81</v>
      </c>
    </row>
    <row r="22" spans="2:13" ht="22.5" customHeight="1" x14ac:dyDescent="0.25">
      <c r="B22" s="59" t="s">
        <v>369</v>
      </c>
      <c r="C22" s="85" t="s">
        <v>632</v>
      </c>
      <c r="D22" s="35" t="s">
        <v>633</v>
      </c>
      <c r="E22" s="164"/>
      <c r="F22" s="31" t="s">
        <v>634</v>
      </c>
    </row>
    <row r="23" spans="2:13" ht="13" x14ac:dyDescent="0.25">
      <c r="B23" s="26"/>
      <c r="C23" s="26"/>
      <c r="D23" s="26"/>
      <c r="E23" s="64" t="s">
        <v>18</v>
      </c>
      <c r="F23" s="65">
        <v>405</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1991B6FD-2F04-4AD2-B7A6-2D8A3D7E4655}"/>
  </hyperlinks>
  <pageMargins left="0.88" right="0.57999999999999996" top="0.5" bottom="0.5" header="0.5" footer="0.5"/>
  <pageSetup paperSize="9" scale="68"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128C-6F5E-48F3-B758-165389DB207E}">
  <sheetPr>
    <tabColor rgb="FF92D050"/>
    <pageSetUpPr fitToPage="1"/>
  </sheetPr>
  <dimension ref="B1:M28"/>
  <sheetViews>
    <sheetView showGridLines="0" topLeftCell="A7" zoomScaleNormal="100" workbookViewId="0">
      <selection activeCell="B18" sqref="B18:F18"/>
    </sheetView>
  </sheetViews>
  <sheetFormatPr defaultRowHeight="12.5" x14ac:dyDescent="0.25"/>
  <cols>
    <col min="1" max="1" width="10.90625" customWidth="1"/>
    <col min="2" max="2" width="32.6328125" customWidth="1"/>
    <col min="3" max="3" width="51.81640625" customWidth="1"/>
    <col min="4" max="4" width="14" customWidth="1"/>
    <col min="5" max="5" width="18.542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v>
      </c>
      <c r="C8" s="20"/>
      <c r="F8" s="21"/>
      <c r="H8" s="13"/>
    </row>
    <row r="9" spans="2:8" ht="13.5" customHeight="1" x14ac:dyDescent="0.3">
      <c r="B9" s="20" t="s">
        <v>181</v>
      </c>
      <c r="C9" s="20"/>
      <c r="E9" s="22"/>
      <c r="F9" s="37"/>
    </row>
    <row r="10" spans="2:8" ht="13.5" customHeight="1" x14ac:dyDescent="0.3">
      <c r="B10" s="20" t="s">
        <v>182</v>
      </c>
      <c r="C10" s="20"/>
      <c r="E10" s="22"/>
      <c r="F10" s="37"/>
    </row>
    <row r="11" spans="2:8" ht="13.5" customHeight="1" x14ac:dyDescent="0.3">
      <c r="B11" s="20" t="s">
        <v>183</v>
      </c>
      <c r="C11" s="20"/>
    </row>
    <row r="12" spans="2:8" ht="13.5" customHeight="1" x14ac:dyDescent="0.3">
      <c r="C12" s="20"/>
    </row>
    <row r="13" spans="2:8" ht="13.5" customHeight="1" x14ac:dyDescent="0.25"/>
    <row r="14" spans="2:8" x14ac:dyDescent="0.25">
      <c r="E14" s="216" t="s">
        <v>640</v>
      </c>
      <c r="F14" s="216"/>
    </row>
    <row r="15" spans="2:8" ht="14" x14ac:dyDescent="0.3">
      <c r="B15" s="20"/>
      <c r="C15" s="33"/>
      <c r="E15" s="161" t="s">
        <v>491</v>
      </c>
      <c r="F15" s="23"/>
    </row>
    <row r="16" spans="2:8" x14ac:dyDescent="0.25">
      <c r="B16" s="4"/>
      <c r="C16" s="4"/>
      <c r="E16" s="161" t="s">
        <v>184</v>
      </c>
      <c r="F16" s="161"/>
    </row>
    <row r="17" spans="2:13" x14ac:dyDescent="0.25">
      <c r="B17" s="4"/>
      <c r="C17" s="4"/>
      <c r="E17" s="161"/>
      <c r="F17" s="161"/>
    </row>
    <row r="18" spans="2:13" ht="17.25" customHeight="1" x14ac:dyDescent="0.25">
      <c r="B18" s="217" t="s">
        <v>653</v>
      </c>
      <c r="C18" s="218"/>
      <c r="D18" s="218"/>
      <c r="E18" s="218"/>
      <c r="F18" s="218"/>
    </row>
    <row r="19" spans="2:13" s="26" customFormat="1" ht="18.5" customHeight="1" x14ac:dyDescent="0.25">
      <c r="B19" s="24" t="s">
        <v>15</v>
      </c>
      <c r="C19" s="24"/>
      <c r="D19" s="24" t="s">
        <v>16</v>
      </c>
      <c r="E19" s="25" t="s">
        <v>17</v>
      </c>
      <c r="F19" s="29" t="s">
        <v>5</v>
      </c>
      <c r="M19" s="4"/>
    </row>
    <row r="20" spans="2:13" s="8" customFormat="1" ht="11.5" customHeight="1" x14ac:dyDescent="0.2">
      <c r="B20" s="223" t="s">
        <v>629</v>
      </c>
      <c r="C20" s="231" t="s">
        <v>641</v>
      </c>
      <c r="D20" s="50">
        <v>44474</v>
      </c>
      <c r="E20" s="91" t="s">
        <v>248</v>
      </c>
      <c r="F20" s="90" t="s">
        <v>604</v>
      </c>
    </row>
    <row r="21" spans="2:13" ht="41.5" customHeight="1" x14ac:dyDescent="0.25">
      <c r="B21" s="225"/>
      <c r="C21" s="232"/>
      <c r="D21" s="35"/>
      <c r="E21" s="164" t="s">
        <v>376</v>
      </c>
      <c r="F21" s="31" t="s">
        <v>606</v>
      </c>
    </row>
    <row r="22" spans="2:13" ht="22.5" customHeight="1" x14ac:dyDescent="0.25">
      <c r="B22" s="59" t="s">
        <v>369</v>
      </c>
      <c r="C22" s="85" t="s">
        <v>642</v>
      </c>
      <c r="D22" s="35" t="s">
        <v>643</v>
      </c>
      <c r="E22" s="164"/>
      <c r="F22" s="31">
        <v>17.5</v>
      </c>
    </row>
    <row r="23" spans="2:13" ht="13" x14ac:dyDescent="0.25">
      <c r="B23" s="26"/>
      <c r="C23" s="26"/>
      <c r="D23" s="26"/>
      <c r="E23" s="64" t="s">
        <v>18</v>
      </c>
      <c r="F23" s="65">
        <v>527.5</v>
      </c>
    </row>
    <row r="25" spans="2:13" ht="13" x14ac:dyDescent="0.25">
      <c r="B25" s="8" t="s">
        <v>20</v>
      </c>
      <c r="C25" s="8"/>
      <c r="D25" s="26"/>
      <c r="E25" s="64"/>
    </row>
    <row r="26" spans="2:13" x14ac:dyDescent="0.25">
      <c r="B26" s="8" t="s">
        <v>21</v>
      </c>
      <c r="C26" s="8"/>
    </row>
    <row r="28" spans="2:13" x14ac:dyDescent="0.25">
      <c r="B28" s="8" t="s">
        <v>22</v>
      </c>
      <c r="C28" s="8"/>
      <c r="D28" s="8" t="s">
        <v>23</v>
      </c>
      <c r="E28" s="8"/>
    </row>
  </sheetData>
  <mergeCells count="4">
    <mergeCell ref="E14:F14"/>
    <mergeCell ref="B18:F18"/>
    <mergeCell ref="B20:B21"/>
    <mergeCell ref="C20:C21"/>
  </mergeCells>
  <hyperlinks>
    <hyperlink ref="F6" r:id="rId1" xr:uid="{61672227-5558-4FB5-AA1F-2716EAF41AFF}"/>
  </hyperlinks>
  <pageMargins left="0.88" right="0.57999999999999996" top="0.5" bottom="0.5" header="0.5" footer="0.5"/>
  <pageSetup paperSize="9" scale="68"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5977-B76A-42B0-B3E5-8FD72432EC3E}">
  <sheetPr>
    <tabColor rgb="FF92D050"/>
    <pageSetUpPr fitToPage="1"/>
  </sheetPr>
  <dimension ref="B1:M33"/>
  <sheetViews>
    <sheetView showGridLines="0" zoomScaleNormal="100" workbookViewId="0">
      <selection activeCell="B18" sqref="B18:F18"/>
    </sheetView>
  </sheetViews>
  <sheetFormatPr defaultRowHeight="12.5" x14ac:dyDescent="0.25"/>
  <cols>
    <col min="1" max="1" width="12.1796875" customWidth="1"/>
    <col min="2" max="2" width="22.90625" customWidth="1"/>
    <col min="3" max="3" width="51.81640625" customWidth="1"/>
    <col min="4" max="4" width="11.54296875" customWidth="1"/>
    <col min="5" max="5" width="13.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528</v>
      </c>
      <c r="C8" s="20"/>
      <c r="F8" s="21"/>
      <c r="H8" s="13"/>
    </row>
    <row r="9" spans="2:8" ht="13.5" customHeight="1" x14ac:dyDescent="0.3">
      <c r="B9" s="20" t="s">
        <v>529</v>
      </c>
      <c r="C9" s="20"/>
      <c r="E9" s="22"/>
      <c r="F9" s="37"/>
    </row>
    <row r="10" spans="2:8" ht="13.5" customHeight="1" x14ac:dyDescent="0.3">
      <c r="B10" s="20" t="s">
        <v>530</v>
      </c>
      <c r="C10" s="20"/>
      <c r="E10" s="22"/>
      <c r="F10" s="37"/>
    </row>
    <row r="11" spans="2:8" ht="13.5" customHeight="1" x14ac:dyDescent="0.3">
      <c r="B11" s="20" t="s">
        <v>531</v>
      </c>
      <c r="C11" s="20"/>
    </row>
    <row r="12" spans="2:8" ht="13.5" customHeight="1" x14ac:dyDescent="0.3">
      <c r="C12" s="20"/>
    </row>
    <row r="13" spans="2:8" ht="13.5" customHeight="1" x14ac:dyDescent="0.25"/>
    <row r="14" spans="2:8" x14ac:dyDescent="0.25">
      <c r="E14" s="173" t="s">
        <v>62</v>
      </c>
      <c r="F14" s="173">
        <v>202154</v>
      </c>
    </row>
    <row r="15" spans="2:8" ht="14" x14ac:dyDescent="0.3">
      <c r="B15" s="20"/>
      <c r="C15" s="20"/>
      <c r="E15" s="173" t="s">
        <v>742</v>
      </c>
      <c r="F15" s="23"/>
    </row>
    <row r="16" spans="2:8" x14ac:dyDescent="0.25">
      <c r="B16" s="4"/>
      <c r="C16" s="4"/>
      <c r="E16" s="173" t="s">
        <v>594</v>
      </c>
      <c r="F16" s="173"/>
    </row>
    <row r="17" spans="2:13" x14ac:dyDescent="0.25">
      <c r="B17" s="4"/>
      <c r="C17" s="4"/>
      <c r="E17" s="173"/>
      <c r="F17" s="173"/>
    </row>
    <row r="18" spans="2:13" ht="17.25" customHeight="1" x14ac:dyDescent="0.25">
      <c r="B18" s="217" t="s">
        <v>657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4" customHeight="1" x14ac:dyDescent="0.25">
      <c r="B20" s="220" t="s">
        <v>658</v>
      </c>
      <c r="C20" s="220" t="s">
        <v>535</v>
      </c>
      <c r="D20" s="50" t="s">
        <v>660</v>
      </c>
      <c r="E20" s="179" t="s">
        <v>52</v>
      </c>
      <c r="F20" s="67" t="s">
        <v>53</v>
      </c>
      <c r="M20" s="4"/>
    </row>
    <row r="21" spans="2:13" s="26" customFormat="1" ht="14" customHeight="1" x14ac:dyDescent="0.25">
      <c r="B21" s="221"/>
      <c r="C21" s="221"/>
      <c r="D21" s="54" t="s">
        <v>661</v>
      </c>
      <c r="E21" s="181" t="s">
        <v>52</v>
      </c>
      <c r="F21" s="81" t="s">
        <v>53</v>
      </c>
      <c r="M21" s="4"/>
    </row>
    <row r="22" spans="2:13" s="26" customFormat="1" ht="16.5" customHeight="1" x14ac:dyDescent="0.25">
      <c r="B22" s="221"/>
      <c r="C22" s="221"/>
      <c r="D22" s="54" t="s">
        <v>662</v>
      </c>
      <c r="E22" s="181" t="s">
        <v>52</v>
      </c>
      <c r="F22" s="81" t="s">
        <v>53</v>
      </c>
      <c r="M22" s="4"/>
    </row>
    <row r="23" spans="2:13" s="26" customFormat="1" ht="41" customHeight="1" x14ac:dyDescent="0.25">
      <c r="B23" s="74" t="s">
        <v>536</v>
      </c>
      <c r="C23" s="59" t="s">
        <v>537</v>
      </c>
      <c r="D23" s="77"/>
      <c r="E23" s="85" t="s">
        <v>131</v>
      </c>
      <c r="F23" s="115" t="s">
        <v>40</v>
      </c>
      <c r="M23" s="4"/>
    </row>
    <row r="24" spans="2:13" s="26" customFormat="1" ht="63.5" customHeight="1" x14ac:dyDescent="0.25">
      <c r="B24" s="74" t="s">
        <v>659</v>
      </c>
      <c r="C24" s="85" t="s">
        <v>540</v>
      </c>
      <c r="D24" s="77" t="s">
        <v>662</v>
      </c>
      <c r="E24" s="85" t="s">
        <v>37</v>
      </c>
      <c r="F24" s="82" t="s">
        <v>38</v>
      </c>
      <c r="M24" s="4"/>
    </row>
    <row r="25" spans="2:13" s="26" customFormat="1" ht="27" customHeight="1" x14ac:dyDescent="0.25">
      <c r="B25" s="59" t="s">
        <v>369</v>
      </c>
      <c r="C25" s="59" t="s">
        <v>542</v>
      </c>
      <c r="D25" s="77"/>
      <c r="E25" s="169" t="s">
        <v>663</v>
      </c>
      <c r="F25" s="31">
        <v>111.36</v>
      </c>
      <c r="M25" s="4"/>
    </row>
    <row r="26" spans="2:13" ht="23" customHeight="1" x14ac:dyDescent="0.25">
      <c r="B26" s="26"/>
      <c r="C26" s="26"/>
      <c r="D26" s="26"/>
      <c r="E26" s="64" t="s">
        <v>18</v>
      </c>
      <c r="F26" s="65">
        <v>1311.36</v>
      </c>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3">
    <mergeCell ref="B18:F18"/>
    <mergeCell ref="B20:B22"/>
    <mergeCell ref="C20:C22"/>
  </mergeCells>
  <hyperlinks>
    <hyperlink ref="F6" r:id="rId1" xr:uid="{D1685DA6-A66B-4A5D-872D-30674058A246}"/>
  </hyperlinks>
  <pageMargins left="0.88" right="0.57999999999999996" top="0.5" bottom="0.5" header="0.5" footer="0.5"/>
  <pageSetup paperSize="9" scale="79"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67AA-58B6-47E8-A815-B1F21F38CF9C}">
  <sheetPr>
    <tabColor rgb="FF92D050"/>
    <pageSetUpPr fitToPage="1"/>
  </sheetPr>
  <dimension ref="B1:M30"/>
  <sheetViews>
    <sheetView showGridLines="0" topLeftCell="A14" zoomScaleNormal="100" workbookViewId="0">
      <selection activeCell="C17" sqref="C17"/>
    </sheetView>
  </sheetViews>
  <sheetFormatPr defaultRowHeight="12.5" x14ac:dyDescent="0.25"/>
  <cols>
    <col min="1" max="1" width="12.1796875" customWidth="1"/>
    <col min="2" max="2" width="24.1796875" customWidth="1"/>
    <col min="3" max="3" width="51.81640625" customWidth="1"/>
    <col min="4" max="4" width="11.54296875" customWidth="1"/>
    <col min="5" max="5" width="13.26953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69</v>
      </c>
      <c r="C8" s="20"/>
      <c r="F8" s="21"/>
      <c r="H8" s="13"/>
    </row>
    <row r="9" spans="2:8" ht="13.5" customHeight="1" x14ac:dyDescent="0.3">
      <c r="B9" s="20" t="s">
        <v>74</v>
      </c>
      <c r="C9" s="20"/>
      <c r="E9" s="22"/>
      <c r="F9" s="37"/>
    </row>
    <row r="10" spans="2:8" ht="13.5" customHeight="1" x14ac:dyDescent="0.3">
      <c r="B10" s="20" t="s">
        <v>70</v>
      </c>
      <c r="C10" s="20"/>
      <c r="E10" s="22"/>
      <c r="F10" s="37"/>
    </row>
    <row r="11" spans="2:8" ht="13.5" customHeight="1" x14ac:dyDescent="0.3">
      <c r="B11" s="20" t="s">
        <v>71</v>
      </c>
      <c r="C11" s="20"/>
    </row>
    <row r="12" spans="2:8" ht="13.5" customHeight="1" x14ac:dyDescent="0.3">
      <c r="C12" s="20"/>
    </row>
    <row r="13" spans="2:8" ht="13.5" customHeight="1" x14ac:dyDescent="0.25"/>
    <row r="14" spans="2:8" x14ac:dyDescent="0.25">
      <c r="E14" s="173" t="s">
        <v>62</v>
      </c>
      <c r="F14" s="173">
        <v>202155</v>
      </c>
    </row>
    <row r="15" spans="2:8" ht="14" x14ac:dyDescent="0.3">
      <c r="B15" s="20"/>
      <c r="C15" s="20"/>
      <c r="E15" s="173" t="s">
        <v>742</v>
      </c>
      <c r="F15" s="23"/>
    </row>
    <row r="16" spans="2:8" x14ac:dyDescent="0.25">
      <c r="B16" s="4"/>
      <c r="C16" s="4"/>
      <c r="E16" s="173" t="s">
        <v>72</v>
      </c>
      <c r="F16" s="173"/>
    </row>
    <row r="17" spans="2:13" x14ac:dyDescent="0.25">
      <c r="B17" s="4"/>
      <c r="C17" s="4"/>
      <c r="E17" s="173"/>
      <c r="F17" s="173"/>
    </row>
    <row r="18" spans="2:13" ht="17.25" customHeight="1" x14ac:dyDescent="0.25">
      <c r="B18" s="217" t="s">
        <v>676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6" customHeight="1" x14ac:dyDescent="0.25">
      <c r="B20" s="101" t="s">
        <v>665</v>
      </c>
      <c r="C20" s="176" t="s">
        <v>559</v>
      </c>
      <c r="D20" s="176" t="s">
        <v>671</v>
      </c>
      <c r="E20" s="176" t="s">
        <v>672</v>
      </c>
      <c r="F20" s="192" t="s">
        <v>673</v>
      </c>
      <c r="M20" s="4"/>
    </row>
    <row r="21" spans="2:13" s="26" customFormat="1" ht="77" customHeight="1" x14ac:dyDescent="0.25">
      <c r="B21" s="74" t="s">
        <v>666</v>
      </c>
      <c r="C21" s="85" t="s">
        <v>540</v>
      </c>
      <c r="D21" s="77" t="s">
        <v>668</v>
      </c>
      <c r="E21" s="85" t="s">
        <v>669</v>
      </c>
      <c r="F21" s="82" t="s">
        <v>670</v>
      </c>
      <c r="M21" s="4"/>
    </row>
    <row r="22" spans="2:13" s="26" customFormat="1" ht="40.5" customHeight="1" x14ac:dyDescent="0.25">
      <c r="B22" s="74" t="s">
        <v>659</v>
      </c>
      <c r="C22" s="85" t="s">
        <v>540</v>
      </c>
      <c r="D22" s="77" t="s">
        <v>674</v>
      </c>
      <c r="E22" s="85" t="s">
        <v>37</v>
      </c>
      <c r="F22" s="82" t="s">
        <v>38</v>
      </c>
      <c r="M22" s="4"/>
    </row>
    <row r="23" spans="2:13" ht="23" customHeight="1" x14ac:dyDescent="0.25">
      <c r="B23" s="26"/>
      <c r="C23" s="26"/>
      <c r="D23" s="26"/>
      <c r="E23" s="64" t="s">
        <v>18</v>
      </c>
      <c r="F23" s="170" t="s">
        <v>675</v>
      </c>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1">
    <mergeCell ref="B18:F18"/>
  </mergeCells>
  <hyperlinks>
    <hyperlink ref="F6" r:id="rId1" xr:uid="{36F2C823-6746-4414-9CE8-57FC90A04EF0}"/>
  </hyperlinks>
  <pageMargins left="0.88" right="0.57999999999999996" top="0.5" bottom="0.5" header="0.5" footer="0.5"/>
  <pageSetup paperSize="9" scale="78"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B4D1-78D3-449B-9456-E3BD550380E9}">
  <sheetPr>
    <tabColor rgb="FF92D050"/>
    <pageSetUpPr fitToPage="1"/>
  </sheetPr>
  <dimension ref="B1:M32"/>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85</v>
      </c>
      <c r="C8" s="20"/>
      <c r="F8" s="21"/>
      <c r="H8" s="13"/>
    </row>
    <row r="9" spans="2:8" ht="13.5" customHeight="1" x14ac:dyDescent="0.3">
      <c r="B9" s="49" t="s">
        <v>86</v>
      </c>
      <c r="C9" s="20"/>
      <c r="E9" s="22"/>
      <c r="F9" s="37"/>
    </row>
    <row r="10" spans="2:8" ht="13.5" customHeight="1" x14ac:dyDescent="0.3">
      <c r="B10" s="4" t="s">
        <v>87</v>
      </c>
      <c r="C10" s="20"/>
      <c r="E10" s="22"/>
      <c r="F10" s="37"/>
    </row>
    <row r="11" spans="2:8" ht="13.5" customHeight="1" x14ac:dyDescent="0.3">
      <c r="B11" s="4" t="s">
        <v>88</v>
      </c>
      <c r="C11" s="20"/>
    </row>
    <row r="12" spans="2:8" ht="13.5" customHeight="1" x14ac:dyDescent="0.3">
      <c r="C12" s="20"/>
    </row>
    <row r="13" spans="2:8" ht="13.5" customHeight="1" x14ac:dyDescent="0.25"/>
    <row r="14" spans="2:8" x14ac:dyDescent="0.25">
      <c r="E14" s="173" t="s">
        <v>62</v>
      </c>
      <c r="F14" s="173">
        <v>202156</v>
      </c>
    </row>
    <row r="15" spans="2:8" ht="14" x14ac:dyDescent="0.3">
      <c r="B15" s="20"/>
      <c r="C15" s="33"/>
      <c r="E15" s="173" t="s">
        <v>742</v>
      </c>
      <c r="F15" s="23"/>
    </row>
    <row r="16" spans="2:8" x14ac:dyDescent="0.25">
      <c r="B16" s="4"/>
      <c r="C16" s="4"/>
      <c r="E16" s="173" t="s">
        <v>89</v>
      </c>
      <c r="F16" s="173"/>
    </row>
    <row r="17" spans="2:13" x14ac:dyDescent="0.25">
      <c r="B17" s="4"/>
      <c r="C17" s="4"/>
      <c r="E17" s="173"/>
      <c r="F17" s="173"/>
    </row>
    <row r="18" spans="2:13" ht="17.25" customHeight="1" x14ac:dyDescent="0.25">
      <c r="B18" s="217" t="s">
        <v>677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2.5" customHeight="1" x14ac:dyDescent="0.25">
      <c r="B20" s="253" t="s">
        <v>681</v>
      </c>
      <c r="C20" s="220" t="s">
        <v>64</v>
      </c>
      <c r="D20" s="193" t="s">
        <v>678</v>
      </c>
      <c r="E20" s="176" t="s">
        <v>32</v>
      </c>
      <c r="F20" s="67" t="s">
        <v>33</v>
      </c>
      <c r="M20" s="4"/>
    </row>
    <row r="21" spans="2:13" s="26" customFormat="1" ht="13" customHeight="1" x14ac:dyDescent="0.25">
      <c r="B21" s="254"/>
      <c r="C21" s="221"/>
      <c r="D21" s="194" t="s">
        <v>679</v>
      </c>
      <c r="E21" s="177" t="s">
        <v>32</v>
      </c>
      <c r="F21" s="81" t="s">
        <v>35</v>
      </c>
      <c r="M21" s="4"/>
    </row>
    <row r="22" spans="2:13" s="26" customFormat="1" ht="17.5" customHeight="1" x14ac:dyDescent="0.25">
      <c r="B22" s="255"/>
      <c r="C22" s="222"/>
      <c r="D22" s="195" t="s">
        <v>680</v>
      </c>
      <c r="E22" s="178" t="s">
        <v>32</v>
      </c>
      <c r="F22" s="84" t="s">
        <v>35</v>
      </c>
      <c r="M22" s="4"/>
    </row>
    <row r="23" spans="2:13" ht="15" customHeight="1" x14ac:dyDescent="0.25">
      <c r="B23" s="196"/>
      <c r="C23" s="116"/>
      <c r="D23" s="174"/>
      <c r="E23" s="64" t="s">
        <v>18</v>
      </c>
      <c r="F23" s="65">
        <v>360</v>
      </c>
    </row>
    <row r="24" spans="2:13" s="8" customFormat="1" x14ac:dyDescent="0.2">
      <c r="B24" s="174"/>
      <c r="C24" s="174"/>
      <c r="D24" s="174"/>
      <c r="E24" s="174"/>
      <c r="F24" s="26"/>
    </row>
    <row r="27" spans="2:13" x14ac:dyDescent="0.25">
      <c r="B27" s="8" t="s">
        <v>20</v>
      </c>
      <c r="C27" s="8"/>
    </row>
    <row r="28" spans="2:13" x14ac:dyDescent="0.25">
      <c r="B28" s="8" t="s">
        <v>21</v>
      </c>
      <c r="C28" s="8"/>
    </row>
    <row r="29" spans="2:13" x14ac:dyDescent="0.25">
      <c r="B29" s="8"/>
      <c r="C29" s="8"/>
    </row>
    <row r="30" spans="2:13" x14ac:dyDescent="0.25">
      <c r="B30" s="4"/>
      <c r="C30" s="4"/>
    </row>
    <row r="32" spans="2:13" x14ac:dyDescent="0.25">
      <c r="B32" s="8" t="s">
        <v>22</v>
      </c>
      <c r="C32" s="8"/>
      <c r="D32" s="8" t="s">
        <v>23</v>
      </c>
      <c r="E32" s="8"/>
      <c r="F32" s="8"/>
    </row>
  </sheetData>
  <mergeCells count="3">
    <mergeCell ref="B18:F18"/>
    <mergeCell ref="B20:B22"/>
    <mergeCell ref="C20:C22"/>
  </mergeCells>
  <hyperlinks>
    <hyperlink ref="F6" r:id="rId1" xr:uid="{9A655A47-2232-42B1-952E-9B332B9F3265}"/>
  </hyperlinks>
  <pageMargins left="0.88" right="0.57999999999999996" top="0.5" bottom="0.5" header="0.5" footer="0.5"/>
  <pageSetup paperSize="9" scale="81"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3B5F-6F4D-441B-8B79-F7FDC9A64B24}">
  <sheetPr>
    <tabColor rgb="FF92D050"/>
    <pageSetUpPr fitToPage="1"/>
  </sheetPr>
  <dimension ref="B1:M28"/>
  <sheetViews>
    <sheetView showGridLines="0" zoomScaleNormal="100" workbookViewId="0">
      <selection activeCell="C12" sqref="C12"/>
    </sheetView>
  </sheetViews>
  <sheetFormatPr defaultRowHeight="12.5" x14ac:dyDescent="0.25"/>
  <cols>
    <col min="1" max="1" width="12.1796875" customWidth="1"/>
    <col min="2" max="2" width="19.81640625" customWidth="1"/>
    <col min="3" max="3" width="57.36328125" customWidth="1"/>
    <col min="4" max="4" width="11.54296875" customWidth="1"/>
    <col min="5" max="5" width="10.5429687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688</v>
      </c>
      <c r="F13" s="216"/>
    </row>
    <row r="14" spans="2:8" ht="14" x14ac:dyDescent="0.3">
      <c r="B14" s="20"/>
      <c r="C14" s="33"/>
      <c r="E14" s="173" t="s">
        <v>742</v>
      </c>
      <c r="F14" s="23"/>
    </row>
    <row r="15" spans="2:8" x14ac:dyDescent="0.25">
      <c r="B15" s="4"/>
      <c r="C15" s="4"/>
      <c r="E15" s="173" t="s">
        <v>396</v>
      </c>
      <c r="F15" s="173"/>
    </row>
    <row r="16" spans="2:8" x14ac:dyDescent="0.25">
      <c r="B16" s="4"/>
      <c r="C16" s="4"/>
      <c r="E16" s="173"/>
      <c r="F16" s="173"/>
    </row>
    <row r="17" spans="2:13" x14ac:dyDescent="0.25">
      <c r="B17" s="4"/>
      <c r="C17" s="4"/>
      <c r="E17" s="173"/>
      <c r="F17" s="173"/>
    </row>
    <row r="18" spans="2:13" ht="17.25" customHeight="1" x14ac:dyDescent="0.25">
      <c r="B18" s="217" t="s">
        <v>901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75" customHeight="1" x14ac:dyDescent="0.25">
      <c r="B20" s="166" t="s">
        <v>682</v>
      </c>
      <c r="C20" s="166" t="s">
        <v>686</v>
      </c>
      <c r="D20" s="167" t="s">
        <v>683</v>
      </c>
      <c r="E20" s="180" t="s">
        <v>37</v>
      </c>
      <c r="F20" s="90" t="s">
        <v>38</v>
      </c>
      <c r="M20" s="4"/>
    </row>
    <row r="21" spans="2:13" s="26" customFormat="1" ht="104.5" customHeight="1" x14ac:dyDescent="0.25">
      <c r="B21" s="171" t="s">
        <v>684</v>
      </c>
      <c r="C21" s="171" t="s">
        <v>64</v>
      </c>
      <c r="D21" s="171" t="s">
        <v>685</v>
      </c>
      <c r="E21" s="130" t="s">
        <v>724</v>
      </c>
      <c r="F21" s="63" t="s">
        <v>725</v>
      </c>
      <c r="M21" s="4"/>
    </row>
    <row r="22" spans="2:13" ht="23" customHeight="1" x14ac:dyDescent="0.25">
      <c r="B22" s="26"/>
      <c r="C22" s="26"/>
      <c r="D22" s="26"/>
      <c r="E22" s="64" t="s">
        <v>18</v>
      </c>
      <c r="F22" s="65" t="s">
        <v>726</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2">
    <mergeCell ref="E13:F13"/>
    <mergeCell ref="B18:F18"/>
  </mergeCells>
  <hyperlinks>
    <hyperlink ref="F6" r:id="rId1" xr:uid="{99123A81-A211-48CE-96D4-7073124C2EC4}"/>
  </hyperlinks>
  <pageMargins left="0.88" right="0.57999999999999996" top="0.5" bottom="0.5" header="0.5" footer="0.5"/>
  <pageSetup paperSize="9" scale="80"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6E3D-6863-4699-B862-4D0D7E56A8F2}">
  <sheetPr>
    <tabColor rgb="FF92D050"/>
    <pageSetUpPr fitToPage="1"/>
  </sheetPr>
  <dimension ref="B1:M27"/>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2695312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689</v>
      </c>
      <c r="F13" s="216"/>
    </row>
    <row r="14" spans="2:8" ht="14" x14ac:dyDescent="0.3">
      <c r="B14" s="20"/>
      <c r="C14" s="33"/>
      <c r="E14" s="173" t="s">
        <v>742</v>
      </c>
      <c r="F14" s="23"/>
    </row>
    <row r="15" spans="2:8" x14ac:dyDescent="0.25">
      <c r="B15" s="4"/>
      <c r="C15" s="4"/>
      <c r="E15" s="173" t="s">
        <v>396</v>
      </c>
      <c r="F15" s="173"/>
    </row>
    <row r="16" spans="2:8" x14ac:dyDescent="0.25">
      <c r="B16" s="4"/>
      <c r="C16" s="4"/>
      <c r="E16" s="173"/>
      <c r="F16" s="173"/>
    </row>
    <row r="17" spans="2:13" x14ac:dyDescent="0.25">
      <c r="B17" s="4"/>
      <c r="C17" s="4"/>
      <c r="E17" s="173"/>
      <c r="F17" s="173"/>
    </row>
    <row r="18" spans="2:13" ht="17.25" customHeight="1" x14ac:dyDescent="0.25">
      <c r="B18" s="217" t="s">
        <v>687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6.5" customHeight="1" x14ac:dyDescent="0.25">
      <c r="B20" s="171" t="s">
        <v>693</v>
      </c>
      <c r="C20" s="171" t="s">
        <v>64</v>
      </c>
      <c r="D20" s="171" t="s">
        <v>690</v>
      </c>
      <c r="E20" s="130" t="s">
        <v>691</v>
      </c>
      <c r="F20" s="63" t="s">
        <v>692</v>
      </c>
      <c r="M20" s="4"/>
    </row>
    <row r="21" spans="2:13" ht="23" customHeight="1" x14ac:dyDescent="0.25">
      <c r="B21" s="26"/>
      <c r="C21" s="26"/>
      <c r="D21" s="26"/>
      <c r="E21" s="64" t="s">
        <v>18</v>
      </c>
      <c r="F21" s="65" t="s">
        <v>35</v>
      </c>
    </row>
    <row r="22" spans="2:13" x14ac:dyDescent="0.25">
      <c r="B22" s="8" t="s">
        <v>20</v>
      </c>
      <c r="C22" s="8"/>
    </row>
    <row r="23" spans="2:13" x14ac:dyDescent="0.25">
      <c r="B23" s="8" t="s">
        <v>21</v>
      </c>
      <c r="C23" s="8"/>
    </row>
    <row r="24" spans="2:13" x14ac:dyDescent="0.25">
      <c r="B24" s="8"/>
      <c r="C24" s="8"/>
    </row>
    <row r="25" spans="2:13" x14ac:dyDescent="0.25">
      <c r="B25" s="4"/>
      <c r="C25" s="4"/>
    </row>
    <row r="27" spans="2:13" x14ac:dyDescent="0.25">
      <c r="B27" s="8" t="s">
        <v>22</v>
      </c>
      <c r="C27" s="8"/>
      <c r="D27" s="8" t="s">
        <v>23</v>
      </c>
      <c r="E27" s="8"/>
      <c r="F27" s="8"/>
    </row>
  </sheetData>
  <mergeCells count="2">
    <mergeCell ref="E13:F13"/>
    <mergeCell ref="B18:F18"/>
  </mergeCells>
  <hyperlinks>
    <hyperlink ref="F6" r:id="rId1" xr:uid="{333AB9B3-B73E-48A6-9022-00542255DC97}"/>
  </hyperlinks>
  <pageMargins left="0.88" right="0.57999999999999996" top="0.5" bottom="0.5" header="0.5" footer="0.5"/>
  <pageSetup paperSize="9" scale="80"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D790B-C048-4B84-B696-2F04AFF339AF}">
  <sheetPr>
    <tabColor rgb="FF92D050"/>
    <pageSetUpPr fitToPage="1"/>
  </sheetPr>
  <dimension ref="B1:M27"/>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7.36328125" customWidth="1"/>
    <col min="4" max="4" width="11.54296875" customWidth="1"/>
    <col min="5" max="5" width="9.26953125" customWidth="1"/>
    <col min="6" max="6" width="11.4531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49" t="s">
        <v>392</v>
      </c>
      <c r="C7" s="20"/>
      <c r="F7" s="21"/>
      <c r="H7" s="13"/>
    </row>
    <row r="8" spans="2:8" ht="13.5" customHeight="1" x14ac:dyDescent="0.3">
      <c r="B8" s="49" t="s">
        <v>393</v>
      </c>
      <c r="C8" s="20"/>
      <c r="E8" s="22"/>
      <c r="F8" s="37"/>
      <c r="H8" s="13"/>
    </row>
    <row r="9" spans="2:8" ht="13.5" customHeight="1" x14ac:dyDescent="0.3">
      <c r="B9" s="49" t="s">
        <v>394</v>
      </c>
      <c r="C9" s="20"/>
      <c r="E9" s="22"/>
      <c r="F9" s="37"/>
    </row>
    <row r="10" spans="2:8" ht="13.5" customHeight="1" x14ac:dyDescent="0.3">
      <c r="B10" s="49" t="s">
        <v>395</v>
      </c>
      <c r="C10" s="20"/>
    </row>
    <row r="11" spans="2:8" ht="13.5" customHeight="1" x14ac:dyDescent="0.3">
      <c r="C11" s="20"/>
    </row>
    <row r="12" spans="2:8" ht="13.5" customHeight="1" x14ac:dyDescent="0.25"/>
    <row r="13" spans="2:8" ht="13.5" customHeight="1" x14ac:dyDescent="0.25">
      <c r="E13" s="216" t="s">
        <v>694</v>
      </c>
      <c r="F13" s="216"/>
    </row>
    <row r="14" spans="2:8" ht="14" x14ac:dyDescent="0.3">
      <c r="B14" s="20"/>
      <c r="C14" s="33"/>
      <c r="E14" s="173" t="s">
        <v>656</v>
      </c>
      <c r="F14" s="23"/>
    </row>
    <row r="15" spans="2:8" x14ac:dyDescent="0.25">
      <c r="B15" s="4"/>
      <c r="C15" s="4"/>
      <c r="E15" s="173" t="s">
        <v>396</v>
      </c>
      <c r="F15" s="173"/>
    </row>
    <row r="16" spans="2:8" x14ac:dyDescent="0.25">
      <c r="B16" s="4"/>
      <c r="C16" s="4"/>
      <c r="E16" s="173"/>
      <c r="F16" s="173"/>
    </row>
    <row r="17" spans="2:13" x14ac:dyDescent="0.25">
      <c r="B17" s="4"/>
      <c r="C17" s="4"/>
      <c r="E17" s="173"/>
      <c r="F17" s="173"/>
    </row>
    <row r="18" spans="2:13" ht="17.25" customHeight="1" x14ac:dyDescent="0.25">
      <c r="B18" s="217" t="s">
        <v>695</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52" customHeight="1" x14ac:dyDescent="0.25">
      <c r="B20" s="171" t="s">
        <v>577</v>
      </c>
      <c r="C20" s="171" t="s">
        <v>64</v>
      </c>
      <c r="D20" s="171" t="s">
        <v>696</v>
      </c>
      <c r="E20" s="130" t="s">
        <v>697</v>
      </c>
      <c r="F20" s="63" t="s">
        <v>698</v>
      </c>
      <c r="M20" s="4"/>
    </row>
    <row r="21" spans="2:13" ht="23" customHeight="1" x14ac:dyDescent="0.25">
      <c r="B21" s="26"/>
      <c r="C21" s="26"/>
      <c r="D21" s="26"/>
      <c r="E21" s="64" t="s">
        <v>18</v>
      </c>
      <c r="F21" s="65" t="s">
        <v>699</v>
      </c>
    </row>
    <row r="22" spans="2:13" x14ac:dyDescent="0.25">
      <c r="B22" s="8" t="s">
        <v>20</v>
      </c>
      <c r="C22" s="8"/>
    </row>
    <row r="23" spans="2:13" x14ac:dyDescent="0.25">
      <c r="B23" s="8" t="s">
        <v>21</v>
      </c>
      <c r="C23" s="8"/>
    </row>
    <row r="24" spans="2:13" x14ac:dyDescent="0.25">
      <c r="B24" s="8"/>
      <c r="C24" s="8"/>
    </row>
    <row r="25" spans="2:13" x14ac:dyDescent="0.25">
      <c r="B25" s="4"/>
      <c r="C25" s="4"/>
    </row>
    <row r="27" spans="2:13" x14ac:dyDescent="0.25">
      <c r="B27" s="8" t="s">
        <v>22</v>
      </c>
      <c r="C27" s="8"/>
      <c r="D27" s="8" t="s">
        <v>23</v>
      </c>
      <c r="E27" s="8"/>
      <c r="F27" s="8"/>
    </row>
  </sheetData>
  <mergeCells count="2">
    <mergeCell ref="E13:F13"/>
    <mergeCell ref="B18:F18"/>
  </mergeCells>
  <hyperlinks>
    <hyperlink ref="F6" r:id="rId1" xr:uid="{BD58936C-7F6F-4349-8EA0-D862E133A73F}"/>
  </hyperlinks>
  <pageMargins left="0.88" right="0.57999999999999996" top="0.5" bottom="0.5" header="0.5" footer="0.5"/>
  <pageSetup paperSize="9" scale="80"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7C4C-57C2-4A5B-89D3-F5DA50B614F7}">
  <sheetPr>
    <tabColor rgb="FF92D050"/>
    <pageSetUpPr fitToPage="1"/>
  </sheetPr>
  <dimension ref="B1:M36"/>
  <sheetViews>
    <sheetView showGridLines="0" zoomScaleNormal="100" workbookViewId="0">
      <selection activeCell="B18" sqref="B18:F18"/>
    </sheetView>
  </sheetViews>
  <sheetFormatPr defaultRowHeight="12.5" x14ac:dyDescent="0.25"/>
  <cols>
    <col min="1" max="1" width="12.1796875" customWidth="1"/>
    <col min="2" max="2" width="24.1796875" customWidth="1"/>
    <col min="3" max="3" width="47.36328125" customWidth="1"/>
    <col min="4" max="4" width="15.54296875" customWidth="1"/>
    <col min="5" max="5" width="13.36328125" customWidth="1"/>
    <col min="6" max="6" width="9.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548</v>
      </c>
      <c r="C8" s="20"/>
      <c r="F8" s="21"/>
      <c r="H8" s="13"/>
    </row>
    <row r="9" spans="2:8" ht="13.5" customHeight="1" x14ac:dyDescent="0.3">
      <c r="B9" s="20" t="s">
        <v>549</v>
      </c>
      <c r="C9" s="20"/>
      <c r="E9" s="22"/>
      <c r="F9" s="37"/>
    </row>
    <row r="10" spans="2:8" ht="13.5" customHeight="1" x14ac:dyDescent="0.3">
      <c r="B10" s="20" t="s">
        <v>550</v>
      </c>
      <c r="C10" s="20"/>
      <c r="E10" s="22"/>
      <c r="F10" s="37"/>
    </row>
    <row r="11" spans="2:8" ht="13.5" customHeight="1" x14ac:dyDescent="0.3">
      <c r="B11" s="20" t="s">
        <v>551</v>
      </c>
      <c r="C11" s="20"/>
    </row>
    <row r="12" spans="2:8" ht="13.5" customHeight="1" x14ac:dyDescent="0.3">
      <c r="C12" s="20"/>
    </row>
    <row r="13" spans="2:8" ht="13.5" customHeight="1" x14ac:dyDescent="0.25"/>
    <row r="14" spans="2:8" x14ac:dyDescent="0.25">
      <c r="E14" s="173" t="s">
        <v>62</v>
      </c>
      <c r="F14" s="173">
        <v>202160</v>
      </c>
    </row>
    <row r="15" spans="2:8" ht="14" x14ac:dyDescent="0.3">
      <c r="B15" s="20"/>
      <c r="C15" s="20"/>
      <c r="E15" s="173" t="s">
        <v>742</v>
      </c>
      <c r="F15" s="23"/>
    </row>
    <row r="16" spans="2:8" x14ac:dyDescent="0.25">
      <c r="B16" s="4"/>
      <c r="C16" s="4"/>
      <c r="E16" s="173" t="s">
        <v>552</v>
      </c>
      <c r="F16" s="173"/>
    </row>
    <row r="17" spans="2:13" x14ac:dyDescent="0.25">
      <c r="B17" s="4"/>
      <c r="C17" s="4"/>
      <c r="E17" s="173"/>
      <c r="F17" s="173"/>
    </row>
    <row r="18" spans="2:13" ht="17.25" customHeight="1" x14ac:dyDescent="0.25">
      <c r="B18" s="217" t="s">
        <v>700</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40" customHeight="1" x14ac:dyDescent="0.25">
      <c r="B20" s="101" t="s">
        <v>703</v>
      </c>
      <c r="C20" s="176" t="s">
        <v>557</v>
      </c>
      <c r="D20" s="101" t="s">
        <v>702</v>
      </c>
      <c r="E20" s="101" t="s">
        <v>37</v>
      </c>
      <c r="F20" s="168" t="s">
        <v>38</v>
      </c>
      <c r="M20" s="4"/>
    </row>
    <row r="21" spans="2:13" s="26" customFormat="1" ht="21" customHeight="1" x14ac:dyDescent="0.25">
      <c r="B21" s="175" t="s">
        <v>704</v>
      </c>
      <c r="C21" s="175" t="s">
        <v>559</v>
      </c>
      <c r="D21" s="50" t="s">
        <v>702</v>
      </c>
      <c r="E21" s="179" t="s">
        <v>37</v>
      </c>
      <c r="F21" s="67" t="s">
        <v>38</v>
      </c>
      <c r="M21" s="4"/>
    </row>
    <row r="22" spans="2:13" s="26" customFormat="1" ht="31.5" customHeight="1" x14ac:dyDescent="0.25">
      <c r="B22" s="253" t="s">
        <v>701</v>
      </c>
      <c r="C22" s="223" t="s">
        <v>705</v>
      </c>
      <c r="D22" s="197" t="s">
        <v>707</v>
      </c>
      <c r="E22" s="71" t="s">
        <v>706</v>
      </c>
      <c r="F22" s="67" t="s">
        <v>715</v>
      </c>
      <c r="M22" s="4"/>
    </row>
    <row r="23" spans="2:13" s="26" customFormat="1" ht="29" customHeight="1" x14ac:dyDescent="0.25">
      <c r="B23" s="254"/>
      <c r="C23" s="224"/>
      <c r="D23" s="198" t="s">
        <v>708</v>
      </c>
      <c r="E23" s="73" t="s">
        <v>710</v>
      </c>
      <c r="F23" s="202" t="s">
        <v>119</v>
      </c>
      <c r="M23" s="4"/>
    </row>
    <row r="24" spans="2:13" s="26" customFormat="1" ht="30.5" customHeight="1" x14ac:dyDescent="0.25">
      <c r="B24" s="254"/>
      <c r="C24" s="224"/>
      <c r="D24" s="198" t="s">
        <v>719</v>
      </c>
      <c r="E24" s="73" t="s">
        <v>711</v>
      </c>
      <c r="F24" s="201" t="s">
        <v>716</v>
      </c>
      <c r="M24" s="4"/>
    </row>
    <row r="25" spans="2:13" s="26" customFormat="1" ht="34.5" customHeight="1" x14ac:dyDescent="0.25">
      <c r="B25" s="254"/>
      <c r="C25" s="224"/>
      <c r="D25" s="198" t="s">
        <v>720</v>
      </c>
      <c r="E25" s="73" t="s">
        <v>712</v>
      </c>
      <c r="F25" s="201" t="s">
        <v>717</v>
      </c>
      <c r="M25" s="4"/>
    </row>
    <row r="26" spans="2:13" s="26" customFormat="1" ht="32" customHeight="1" x14ac:dyDescent="0.25">
      <c r="B26" s="254"/>
      <c r="C26" s="224"/>
      <c r="D26" s="198" t="s">
        <v>721</v>
      </c>
      <c r="E26" s="73" t="s">
        <v>710</v>
      </c>
      <c r="F26" s="202" t="s">
        <v>119</v>
      </c>
      <c r="M26" s="4"/>
    </row>
    <row r="27" spans="2:13" s="26" customFormat="1" ht="30" customHeight="1" x14ac:dyDescent="0.25">
      <c r="B27" s="254"/>
      <c r="C27" s="224"/>
      <c r="D27" s="198" t="s">
        <v>709</v>
      </c>
      <c r="E27" s="73" t="s">
        <v>713</v>
      </c>
      <c r="F27" s="201" t="s">
        <v>391</v>
      </c>
      <c r="M27" s="4"/>
    </row>
    <row r="28" spans="2:13" s="26" customFormat="1" ht="26.5" customHeight="1" x14ac:dyDescent="0.25">
      <c r="B28" s="255"/>
      <c r="C28" s="225"/>
      <c r="D28" s="199" t="s">
        <v>722</v>
      </c>
      <c r="E28" s="200" t="s">
        <v>714</v>
      </c>
      <c r="F28" s="203" t="s">
        <v>718</v>
      </c>
      <c r="M28" s="4"/>
    </row>
    <row r="29" spans="2:13" ht="23" customHeight="1" x14ac:dyDescent="0.25">
      <c r="B29" s="26"/>
      <c r="C29" s="26"/>
      <c r="D29" s="26"/>
      <c r="E29" s="64" t="s">
        <v>18</v>
      </c>
      <c r="F29" s="65" t="s">
        <v>723</v>
      </c>
    </row>
    <row r="31" spans="2:13" x14ac:dyDescent="0.25">
      <c r="B31" s="8" t="s">
        <v>20</v>
      </c>
      <c r="C31" s="8"/>
    </row>
    <row r="32" spans="2:13" x14ac:dyDescent="0.25">
      <c r="B32" s="8" t="s">
        <v>21</v>
      </c>
      <c r="C32" s="8"/>
    </row>
    <row r="33" spans="2:6" x14ac:dyDescent="0.25">
      <c r="B33" s="8"/>
      <c r="C33" s="8"/>
    </row>
    <row r="34" spans="2:6" x14ac:dyDescent="0.25">
      <c r="B34" s="4"/>
      <c r="C34" s="4"/>
    </row>
    <row r="36" spans="2:6" x14ac:dyDescent="0.25">
      <c r="B36" s="8" t="s">
        <v>22</v>
      </c>
      <c r="C36" s="8"/>
      <c r="D36" s="8" t="s">
        <v>23</v>
      </c>
      <c r="E36" s="8"/>
      <c r="F36" s="8"/>
    </row>
  </sheetData>
  <mergeCells count="3">
    <mergeCell ref="B18:F18"/>
    <mergeCell ref="B22:B28"/>
    <mergeCell ref="C22:C28"/>
  </mergeCells>
  <hyperlinks>
    <hyperlink ref="F6" r:id="rId1" xr:uid="{EEBD902F-DAA3-4CF8-B663-25E864C3EC8E}"/>
  </hyperlinks>
  <pageMargins left="0.88" right="0.57999999999999996" top="0.5" bottom="0.5" header="0.5" footer="0.5"/>
  <pageSetup paperSize="9" scale="80"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0458-CB85-47FA-A893-DFB2F3396248}">
  <sheetPr>
    <tabColor rgb="FF92D050"/>
    <pageSetUpPr fitToPage="1"/>
  </sheetPr>
  <dimension ref="B1:M33"/>
  <sheetViews>
    <sheetView showGridLines="0" topLeftCell="A18"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202161</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727</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86" t="s">
        <v>496</v>
      </c>
      <c r="D20" s="101" t="s">
        <v>502</v>
      </c>
      <c r="E20" s="101" t="s">
        <v>37</v>
      </c>
      <c r="F20" s="117" t="s">
        <v>38</v>
      </c>
      <c r="M20" s="4"/>
    </row>
    <row r="21" spans="2:13" s="26" customFormat="1" ht="14" customHeight="1" x14ac:dyDescent="0.25">
      <c r="B21" s="220" t="s">
        <v>327</v>
      </c>
      <c r="C21" s="220" t="s">
        <v>328</v>
      </c>
      <c r="D21" s="220" t="s">
        <v>683</v>
      </c>
      <c r="E21" s="220" t="s">
        <v>134</v>
      </c>
      <c r="F21" s="233" t="s">
        <v>81</v>
      </c>
      <c r="M21" s="4"/>
    </row>
    <row r="22" spans="2:13" s="26" customFormat="1" ht="49.5" customHeight="1" x14ac:dyDescent="0.25">
      <c r="B22" s="221"/>
      <c r="C22" s="221"/>
      <c r="D22" s="221"/>
      <c r="E22" s="221"/>
      <c r="F22" s="256"/>
      <c r="M22" s="4"/>
    </row>
    <row r="23" spans="2:13" s="26" customFormat="1" ht="15.5" customHeight="1" x14ac:dyDescent="0.25">
      <c r="B23" s="183" t="s">
        <v>572</v>
      </c>
      <c r="C23" s="183" t="s">
        <v>64</v>
      </c>
      <c r="D23" s="183" t="s">
        <v>728</v>
      </c>
      <c r="E23" s="183" t="s">
        <v>37</v>
      </c>
      <c r="F23" s="204" t="s">
        <v>38</v>
      </c>
      <c r="M23" s="4"/>
    </row>
    <row r="24" spans="2:13" s="26" customFormat="1" ht="15.5" customHeight="1" x14ac:dyDescent="0.25">
      <c r="B24" s="184"/>
      <c r="C24" s="184"/>
      <c r="D24" s="184" t="s">
        <v>729</v>
      </c>
      <c r="E24" s="184" t="s">
        <v>37</v>
      </c>
      <c r="F24" s="205" t="s">
        <v>38</v>
      </c>
      <c r="M24" s="4"/>
    </row>
    <row r="25" spans="2:13" s="26" customFormat="1" ht="15" customHeight="1" x14ac:dyDescent="0.25">
      <c r="B25" s="185"/>
      <c r="C25" s="185"/>
      <c r="D25" s="185" t="s">
        <v>730</v>
      </c>
      <c r="E25" s="185" t="s">
        <v>37</v>
      </c>
      <c r="F25" s="206" t="s">
        <v>38</v>
      </c>
      <c r="M25" s="4"/>
    </row>
    <row r="26" spans="2:13" ht="23" customHeight="1" x14ac:dyDescent="0.25">
      <c r="B26" s="26"/>
      <c r="C26" s="26"/>
      <c r="D26" s="26"/>
      <c r="E26" s="64" t="s">
        <v>18</v>
      </c>
      <c r="F26" s="65" t="s">
        <v>448</v>
      </c>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6">
    <mergeCell ref="B18:F18"/>
    <mergeCell ref="B21:B22"/>
    <mergeCell ref="C21:C22"/>
    <mergeCell ref="D21:D22"/>
    <mergeCell ref="E21:E22"/>
    <mergeCell ref="F21:F22"/>
  </mergeCells>
  <hyperlinks>
    <hyperlink ref="F6" r:id="rId1" xr:uid="{E315FB5D-15C4-479C-B8D8-8EE3E2365CBE}"/>
  </hyperlinks>
  <pageMargins left="0.88" right="0.57999999999999996" top="0.5" bottom="0.5" header="0.5" footer="0.5"/>
  <pageSetup paperSize="9" scale="79"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A598-8FAD-4069-841C-B335C1C2ED62}">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202162</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731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5.5" customHeight="1" x14ac:dyDescent="0.25">
      <c r="B20" s="183" t="s">
        <v>741</v>
      </c>
      <c r="C20" s="183" t="s">
        <v>64</v>
      </c>
      <c r="D20" s="183" t="s">
        <v>683</v>
      </c>
      <c r="E20" s="183" t="s">
        <v>37</v>
      </c>
      <c r="F20" s="204" t="s">
        <v>38</v>
      </c>
      <c r="M20" s="4"/>
    </row>
    <row r="21" spans="2:13" s="26" customFormat="1" ht="15.5" customHeight="1" x14ac:dyDescent="0.25">
      <c r="B21" s="185"/>
      <c r="C21" s="185"/>
      <c r="D21" s="185" t="s">
        <v>732</v>
      </c>
      <c r="E21" s="185" t="s">
        <v>37</v>
      </c>
      <c r="F21" s="206" t="s">
        <v>38</v>
      </c>
      <c r="M21" s="4"/>
    </row>
    <row r="22" spans="2:13" ht="13" x14ac:dyDescent="0.25">
      <c r="E22" s="64" t="s">
        <v>18</v>
      </c>
      <c r="F22" s="65" t="s">
        <v>53</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1">
    <mergeCell ref="B18:F18"/>
  </mergeCells>
  <hyperlinks>
    <hyperlink ref="F6" r:id="rId1" xr:uid="{352269E5-6996-48E5-8D8C-43F10D8455C4}"/>
  </hyperlinks>
  <pageMargins left="0.88" right="0.57999999999999996" top="0.5" bottom="0.5" header="0.5" footer="0.5"/>
  <pageSetup paperSize="9" scale="79"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6C8B-5D62-4C02-94C2-8945FCA84B0B}">
  <sheetPr>
    <tabColor rgb="FF92D050"/>
    <pageSetUpPr fitToPage="1"/>
  </sheetPr>
  <dimension ref="B1:M32"/>
  <sheetViews>
    <sheetView showGridLines="0" topLeftCell="A15" zoomScaleNormal="100" workbookViewId="0">
      <selection activeCell="B18" sqref="B18:F18"/>
    </sheetView>
  </sheetViews>
  <sheetFormatPr defaultRowHeight="12.5" x14ac:dyDescent="0.25"/>
  <cols>
    <col min="1" max="1" width="12.1796875" customWidth="1"/>
    <col min="2" max="2" width="18.08984375" customWidth="1"/>
    <col min="3" max="3" width="56.269531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202163</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740</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5.5" customHeight="1" x14ac:dyDescent="0.25">
      <c r="B20" s="220" t="s">
        <v>743</v>
      </c>
      <c r="C20" s="223" t="s">
        <v>64</v>
      </c>
      <c r="D20" s="183" t="s">
        <v>683</v>
      </c>
      <c r="E20" s="183" t="s">
        <v>37</v>
      </c>
      <c r="F20" s="207" t="s">
        <v>38</v>
      </c>
      <c r="M20" s="4"/>
    </row>
    <row r="21" spans="2:13" s="26" customFormat="1" ht="15.5" customHeight="1" x14ac:dyDescent="0.25">
      <c r="B21" s="221"/>
      <c r="C21" s="224"/>
      <c r="D21" s="184" t="s">
        <v>745</v>
      </c>
      <c r="E21" s="184" t="s">
        <v>37</v>
      </c>
      <c r="F21" s="208" t="s">
        <v>38</v>
      </c>
      <c r="M21" s="4"/>
    </row>
    <row r="22" spans="2:13" s="26" customFormat="1" ht="15.5" customHeight="1" x14ac:dyDescent="0.25">
      <c r="B22" s="222"/>
      <c r="C22" s="225"/>
      <c r="D22" s="185" t="s">
        <v>729</v>
      </c>
      <c r="E22" s="185" t="s">
        <v>37</v>
      </c>
      <c r="F22" s="209" t="s">
        <v>38</v>
      </c>
      <c r="M22" s="4"/>
    </row>
    <row r="23" spans="2:13" s="26" customFormat="1" ht="15.5" customHeight="1" x14ac:dyDescent="0.25">
      <c r="B23" s="221" t="s">
        <v>744</v>
      </c>
      <c r="C23" s="221" t="s">
        <v>756</v>
      </c>
      <c r="D23" s="221" t="s">
        <v>746</v>
      </c>
      <c r="E23" s="221" t="s">
        <v>747</v>
      </c>
      <c r="F23" s="257" t="s">
        <v>748</v>
      </c>
      <c r="M23" s="4"/>
    </row>
    <row r="24" spans="2:13" s="26" customFormat="1" ht="41" customHeight="1" x14ac:dyDescent="0.25">
      <c r="B24" s="222"/>
      <c r="C24" s="222"/>
      <c r="D24" s="222"/>
      <c r="E24" s="222"/>
      <c r="F24" s="258"/>
      <c r="M24" s="4"/>
    </row>
    <row r="25" spans="2:13" ht="23" customHeight="1" x14ac:dyDescent="0.25">
      <c r="B25" s="26"/>
      <c r="C25" s="26"/>
      <c r="D25" s="26"/>
      <c r="E25" s="64" t="s">
        <v>18</v>
      </c>
      <c r="F25" s="65" t="s">
        <v>749</v>
      </c>
    </row>
    <row r="27" spans="2:13" x14ac:dyDescent="0.25">
      <c r="B27" s="8" t="s">
        <v>20</v>
      </c>
      <c r="C27" s="8"/>
    </row>
    <row r="28" spans="2:13" x14ac:dyDescent="0.25">
      <c r="B28" s="8" t="s">
        <v>21</v>
      </c>
      <c r="C28" s="8"/>
    </row>
    <row r="29" spans="2:13" x14ac:dyDescent="0.25">
      <c r="B29" s="8"/>
      <c r="C29" s="8"/>
    </row>
    <row r="30" spans="2:13" x14ac:dyDescent="0.25">
      <c r="B30" s="4"/>
      <c r="C30" s="4"/>
    </row>
    <row r="32" spans="2:13" x14ac:dyDescent="0.25">
      <c r="B32" s="8" t="s">
        <v>22</v>
      </c>
      <c r="C32" s="8"/>
      <c r="D32" s="8" t="s">
        <v>23</v>
      </c>
      <c r="E32" s="8"/>
      <c r="F32" s="8"/>
    </row>
  </sheetData>
  <mergeCells count="8">
    <mergeCell ref="B18:F18"/>
    <mergeCell ref="B23:B24"/>
    <mergeCell ref="C23:C24"/>
    <mergeCell ref="D23:D24"/>
    <mergeCell ref="E23:E24"/>
    <mergeCell ref="F23:F24"/>
    <mergeCell ref="B20:B22"/>
    <mergeCell ref="C20:C22"/>
  </mergeCells>
  <hyperlinks>
    <hyperlink ref="F6" r:id="rId1" xr:uid="{E5AA9F1B-E172-43E1-8F98-BF07DAB1A072}"/>
  </hyperlinks>
  <pageMargins left="0.88" right="0.57999999999999996" top="0.5" bottom="0.5" header="0.5" footer="0.5"/>
  <pageSetup paperSize="9" scale="78"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74AF-6616-4AC1-8842-49364D0F2DD2}">
  <sheetPr>
    <tabColor rgb="FF92D050"/>
    <pageSetUpPr fitToPage="1"/>
  </sheetPr>
  <dimension ref="B1:M31"/>
  <sheetViews>
    <sheetView showGridLines="0" topLeftCell="A15"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202164</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751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86" t="s">
        <v>496</v>
      </c>
      <c r="D20" s="101" t="s">
        <v>502</v>
      </c>
      <c r="E20" s="101" t="s">
        <v>37</v>
      </c>
      <c r="F20" s="117" t="s">
        <v>38</v>
      </c>
      <c r="M20" s="4"/>
    </row>
    <row r="21" spans="2:13" s="26" customFormat="1" ht="14" customHeight="1" x14ac:dyDescent="0.25">
      <c r="B21" s="220" t="s">
        <v>327</v>
      </c>
      <c r="C21" s="220" t="s">
        <v>328</v>
      </c>
      <c r="D21" s="220" t="s">
        <v>503</v>
      </c>
      <c r="E21" s="220" t="s">
        <v>134</v>
      </c>
      <c r="F21" s="233" t="s">
        <v>81</v>
      </c>
      <c r="M21" s="4"/>
    </row>
    <row r="22" spans="2:13" s="26" customFormat="1" ht="49.5" customHeight="1" x14ac:dyDescent="0.25">
      <c r="B22" s="222"/>
      <c r="C22" s="222"/>
      <c r="D22" s="222"/>
      <c r="E22" s="222"/>
      <c r="F22" s="234"/>
      <c r="M22" s="4"/>
    </row>
    <row r="23" spans="2:13" s="26" customFormat="1" ht="18.5" customHeight="1" x14ac:dyDescent="0.25">
      <c r="B23" s="59" t="s">
        <v>757</v>
      </c>
      <c r="C23" s="59" t="s">
        <v>64</v>
      </c>
      <c r="D23" s="59" t="s">
        <v>753</v>
      </c>
      <c r="E23" s="59" t="s">
        <v>37</v>
      </c>
      <c r="F23" s="189" t="s">
        <v>758</v>
      </c>
      <c r="M23" s="4"/>
    </row>
    <row r="24" spans="2:13" ht="23" customHeight="1" x14ac:dyDescent="0.25">
      <c r="B24" s="26"/>
      <c r="C24" s="26"/>
      <c r="D24" s="26"/>
      <c r="E24" s="64" t="s">
        <v>18</v>
      </c>
      <c r="F24" s="65" t="s">
        <v>759</v>
      </c>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6">
    <mergeCell ref="B18:F18"/>
    <mergeCell ref="B21:B22"/>
    <mergeCell ref="C21:C22"/>
    <mergeCell ref="D21:D22"/>
    <mergeCell ref="E21:E22"/>
    <mergeCell ref="F21:F22"/>
  </mergeCells>
  <hyperlinks>
    <hyperlink ref="F6" r:id="rId1" xr:uid="{111C945F-5074-4AA4-BD0B-8CF0E2BEBDA2}"/>
  </hyperlinks>
  <pageMargins left="0.88" right="0.57999999999999996" top="0.5" bottom="0.5" header="0.5" footer="0.5"/>
  <pageSetup paperSize="9" scale="79"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A782-FAFB-492D-A64C-B35AEA8D2218}">
  <sheetPr>
    <tabColor rgb="FF92D050"/>
    <pageSetUpPr fitToPage="1"/>
  </sheetPr>
  <dimension ref="B1:M30"/>
  <sheetViews>
    <sheetView showGridLines="0" topLeftCell="A10" zoomScaleNormal="100" workbookViewId="0">
      <selection activeCell="A30" sqref="A30"/>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202165</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750</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15.5" customHeight="1" x14ac:dyDescent="0.25">
      <c r="B20" s="220" t="s">
        <v>752</v>
      </c>
      <c r="C20" s="223" t="s">
        <v>755</v>
      </c>
      <c r="D20" s="183" t="s">
        <v>678</v>
      </c>
      <c r="E20" s="183" t="s">
        <v>37</v>
      </c>
      <c r="F20" s="207" t="s">
        <v>38</v>
      </c>
      <c r="M20" s="4"/>
    </row>
    <row r="21" spans="2:13" s="26" customFormat="1" ht="15.5" customHeight="1" x14ac:dyDescent="0.25">
      <c r="B21" s="221"/>
      <c r="C21" s="224"/>
      <c r="D21" s="184" t="s">
        <v>754</v>
      </c>
      <c r="E21" s="184" t="s">
        <v>34</v>
      </c>
      <c r="F21" s="208" t="s">
        <v>35</v>
      </c>
      <c r="M21" s="4"/>
    </row>
    <row r="22" spans="2:13" s="26" customFormat="1" ht="15.5" customHeight="1" x14ac:dyDescent="0.25">
      <c r="B22" s="221"/>
      <c r="C22" s="224"/>
      <c r="D22" s="184" t="s">
        <v>753</v>
      </c>
      <c r="E22" s="184" t="s">
        <v>37</v>
      </c>
      <c r="F22" s="208" t="s">
        <v>38</v>
      </c>
      <c r="M22" s="4"/>
    </row>
    <row r="23" spans="2:13" s="26" customFormat="1" ht="15.5" customHeight="1" x14ac:dyDescent="0.25">
      <c r="B23" s="222"/>
      <c r="C23" s="225"/>
      <c r="D23" s="185" t="s">
        <v>664</v>
      </c>
      <c r="E23" s="185" t="s">
        <v>34</v>
      </c>
      <c r="F23" s="209" t="s">
        <v>35</v>
      </c>
      <c r="M23" s="4"/>
    </row>
    <row r="24" spans="2:13" ht="23" customHeight="1" x14ac:dyDescent="0.25">
      <c r="B24" s="26"/>
      <c r="C24" s="26"/>
      <c r="D24" s="26"/>
      <c r="E24" s="64" t="s">
        <v>18</v>
      </c>
      <c r="F24" s="65" t="s">
        <v>300</v>
      </c>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3">
    <mergeCell ref="B18:F18"/>
    <mergeCell ref="B20:B23"/>
    <mergeCell ref="C20:C23"/>
  </mergeCells>
  <hyperlinks>
    <hyperlink ref="F6" r:id="rId1" xr:uid="{0E917CED-361A-4A0B-A307-74A87EC93252}"/>
  </hyperlinks>
  <pageMargins left="0.88" right="0.57999999999999996" top="0.5" bottom="0.5" header="0.5" footer="0.5"/>
  <pageSetup paperSize="9" scale="79"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8B788-91FC-433F-8137-C7C8075EFE5C}">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406</v>
      </c>
      <c r="C8" s="20"/>
      <c r="F8" s="21"/>
      <c r="H8" s="13"/>
    </row>
    <row r="9" spans="2:8" ht="13.5" customHeight="1" x14ac:dyDescent="0.3">
      <c r="B9" s="49" t="s">
        <v>490</v>
      </c>
      <c r="C9" s="20"/>
      <c r="E9" s="22"/>
      <c r="F9" s="37"/>
    </row>
    <row r="10" spans="2:8" ht="13.5" customHeight="1" x14ac:dyDescent="0.3">
      <c r="B10" s="49" t="s">
        <v>409</v>
      </c>
      <c r="C10" s="20"/>
      <c r="E10" s="22"/>
      <c r="F10" s="37"/>
    </row>
    <row r="11" spans="2:8" ht="13.5" customHeight="1" x14ac:dyDescent="0.3">
      <c r="B11" s="49" t="s">
        <v>410</v>
      </c>
      <c r="C11" s="20"/>
    </row>
    <row r="12" spans="2:8" ht="13.5" customHeight="1" x14ac:dyDescent="0.3">
      <c r="C12" s="20"/>
    </row>
    <row r="13" spans="2:8" ht="13.5" customHeight="1" x14ac:dyDescent="0.25"/>
    <row r="14" spans="2:8" x14ac:dyDescent="0.25">
      <c r="E14" s="182" t="s">
        <v>62</v>
      </c>
      <c r="F14" s="182">
        <v>202166</v>
      </c>
    </row>
    <row r="15" spans="2:8" ht="14" x14ac:dyDescent="0.3">
      <c r="B15" s="20"/>
      <c r="C15" s="20"/>
      <c r="E15" s="182" t="s">
        <v>742</v>
      </c>
      <c r="F15" s="23"/>
    </row>
    <row r="16" spans="2:8" x14ac:dyDescent="0.25">
      <c r="B16" s="4"/>
      <c r="C16" s="4"/>
      <c r="E16" s="182" t="s">
        <v>411</v>
      </c>
      <c r="F16" s="182"/>
    </row>
    <row r="17" spans="2:13" x14ac:dyDescent="0.25">
      <c r="B17" s="4"/>
      <c r="C17" s="4"/>
      <c r="E17" s="182"/>
      <c r="F17" s="182"/>
    </row>
    <row r="18" spans="2:13" ht="17.25" customHeight="1" x14ac:dyDescent="0.25">
      <c r="B18" s="217" t="s">
        <v>760</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86" t="s">
        <v>496</v>
      </c>
      <c r="D20" s="101" t="s">
        <v>502</v>
      </c>
      <c r="E20" s="101" t="s">
        <v>37</v>
      </c>
      <c r="F20" s="117" t="s">
        <v>38</v>
      </c>
      <c r="M20" s="4"/>
    </row>
    <row r="21" spans="2:13" ht="23" customHeight="1" x14ac:dyDescent="0.25">
      <c r="B21" s="26"/>
      <c r="C21" s="26"/>
      <c r="D21" s="26"/>
      <c r="E21" s="64" t="s">
        <v>18</v>
      </c>
      <c r="F21" s="65" t="s">
        <v>38</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1">
    <mergeCell ref="B18:F18"/>
  </mergeCells>
  <hyperlinks>
    <hyperlink ref="F6" r:id="rId1" xr:uid="{82812958-EBBB-4898-B30F-DC5F09FB4AA5}"/>
  </hyperlinks>
  <pageMargins left="0.88" right="0.57999999999999996" top="0.5" bottom="0.5" header="0.5" footer="0.5"/>
  <pageSetup paperSize="9" scale="79"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982F-BE92-448D-AE44-5BD8C646B3DB}">
  <sheetPr>
    <tabColor rgb="FF92D050"/>
    <pageSetUpPr fitToPage="1"/>
  </sheetPr>
  <dimension ref="B1:M31"/>
  <sheetViews>
    <sheetView showGridLines="0" topLeftCell="A12"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764</v>
      </c>
      <c r="C8" s="20"/>
      <c r="F8" s="21"/>
      <c r="H8" s="13"/>
    </row>
    <row r="9" spans="2:8" ht="13.5" customHeight="1" x14ac:dyDescent="0.3">
      <c r="B9" s="49" t="s">
        <v>765</v>
      </c>
      <c r="C9" s="20"/>
      <c r="E9" s="22"/>
      <c r="F9" s="37"/>
    </row>
    <row r="10" spans="2:8" ht="13.5" customHeight="1" x14ac:dyDescent="0.3">
      <c r="B10" s="49" t="s">
        <v>169</v>
      </c>
      <c r="C10" s="20"/>
      <c r="E10" s="22"/>
      <c r="F10" s="37"/>
    </row>
    <row r="11" spans="2:8" ht="13.5" customHeight="1" x14ac:dyDescent="0.3">
      <c r="B11" s="49" t="s">
        <v>170</v>
      </c>
      <c r="C11" s="20"/>
    </row>
    <row r="12" spans="2:8" ht="13.5" customHeight="1" x14ac:dyDescent="0.3">
      <c r="C12" s="20"/>
    </row>
    <row r="13" spans="2:8" ht="13.5" customHeight="1" x14ac:dyDescent="0.25"/>
    <row r="14" spans="2:8" x14ac:dyDescent="0.25">
      <c r="E14" s="182" t="s">
        <v>62</v>
      </c>
      <c r="F14" s="182">
        <v>202167</v>
      </c>
    </row>
    <row r="15" spans="2:8" ht="14" x14ac:dyDescent="0.3">
      <c r="B15" s="20"/>
      <c r="C15" s="20"/>
      <c r="E15" s="182" t="s">
        <v>742</v>
      </c>
      <c r="F15" s="23"/>
    </row>
    <row r="16" spans="2:8" x14ac:dyDescent="0.25">
      <c r="B16" s="4"/>
      <c r="C16" s="4"/>
      <c r="E16" s="182" t="s">
        <v>763</v>
      </c>
      <c r="F16" s="182"/>
    </row>
    <row r="17" spans="2:13" x14ac:dyDescent="0.25">
      <c r="B17" s="4"/>
      <c r="C17" s="4"/>
      <c r="E17" s="182"/>
      <c r="F17" s="182"/>
    </row>
    <row r="18" spans="2:13" ht="17.25" customHeight="1" x14ac:dyDescent="0.25">
      <c r="B18" s="217" t="s">
        <v>766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101" t="s">
        <v>152</v>
      </c>
      <c r="C20" s="186" t="s">
        <v>496</v>
      </c>
      <c r="D20" s="101" t="s">
        <v>767</v>
      </c>
      <c r="E20" s="101" t="s">
        <v>37</v>
      </c>
      <c r="F20" s="117" t="s">
        <v>38</v>
      </c>
      <c r="M20" s="4"/>
    </row>
    <row r="21" spans="2:13" s="26" customFormat="1" ht="14" customHeight="1" x14ac:dyDescent="0.25">
      <c r="B21" s="220" t="s">
        <v>327</v>
      </c>
      <c r="C21" s="220" t="s">
        <v>328</v>
      </c>
      <c r="D21" s="220" t="s">
        <v>702</v>
      </c>
      <c r="E21" s="220" t="s">
        <v>134</v>
      </c>
      <c r="F21" s="233" t="s">
        <v>81</v>
      </c>
      <c r="M21" s="4"/>
    </row>
    <row r="22" spans="2:13" s="26" customFormat="1" ht="49.5" customHeight="1" x14ac:dyDescent="0.25">
      <c r="B22" s="222"/>
      <c r="C22" s="222"/>
      <c r="D22" s="222"/>
      <c r="E22" s="222"/>
      <c r="F22" s="234"/>
      <c r="M22" s="4"/>
    </row>
    <row r="23" spans="2:13" s="26" customFormat="1" ht="18.5" customHeight="1" x14ac:dyDescent="0.25">
      <c r="B23" s="59" t="s">
        <v>757</v>
      </c>
      <c r="C23" s="59" t="s">
        <v>64</v>
      </c>
      <c r="D23" s="59" t="s">
        <v>768</v>
      </c>
      <c r="E23" s="59" t="s">
        <v>37</v>
      </c>
      <c r="F23" s="189" t="s">
        <v>758</v>
      </c>
      <c r="M23" s="4"/>
    </row>
    <row r="24" spans="2:13" ht="23" customHeight="1" x14ac:dyDescent="0.25">
      <c r="B24" s="26"/>
      <c r="C24" s="26"/>
      <c r="D24" s="26"/>
      <c r="E24" s="64" t="s">
        <v>18</v>
      </c>
      <c r="F24" s="65" t="s">
        <v>759</v>
      </c>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6">
    <mergeCell ref="B18:F18"/>
    <mergeCell ref="B21:B22"/>
    <mergeCell ref="C21:C22"/>
    <mergeCell ref="D21:D22"/>
    <mergeCell ref="E21:E22"/>
    <mergeCell ref="F21:F22"/>
  </mergeCells>
  <hyperlinks>
    <hyperlink ref="F6" r:id="rId1" xr:uid="{20A2B7C4-D0FC-48DD-9375-7A6B23394F11}"/>
  </hyperlinks>
  <pageMargins left="0.88" right="0.57999999999999996" top="0.5" bottom="0.5" header="0.5" footer="0.5"/>
  <pageSetup paperSize="9" scale="79" orientation="portrait" r:id="rId2"/>
  <headerFooter alignWithMargins="0"/>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6286-2FAD-403E-B15C-4EF405DB1DAC}">
  <sheetPr>
    <tabColor rgb="FF92D050"/>
    <pageSetUpPr fitToPage="1"/>
  </sheetPr>
  <dimension ref="B1:M33"/>
  <sheetViews>
    <sheetView showGridLines="0" topLeftCell="A2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784</v>
      </c>
      <c r="C8" s="20"/>
      <c r="F8" s="21"/>
      <c r="H8" s="13"/>
    </row>
    <row r="9" spans="2:8" ht="13.5" customHeight="1" x14ac:dyDescent="0.3">
      <c r="B9" s="20" t="s">
        <v>785</v>
      </c>
      <c r="C9" s="20"/>
      <c r="E9" s="22"/>
      <c r="F9" s="37"/>
    </row>
    <row r="10" spans="2:8" ht="13.5" customHeight="1" x14ac:dyDescent="0.3">
      <c r="B10" s="20" t="s">
        <v>786</v>
      </c>
      <c r="C10" s="20"/>
      <c r="E10" s="22"/>
      <c r="F10" s="37"/>
    </row>
    <row r="11" spans="2:8" ht="13.5" customHeight="1" x14ac:dyDescent="0.3">
      <c r="B11" s="20" t="s">
        <v>787</v>
      </c>
      <c r="C11" s="20"/>
    </row>
    <row r="12" spans="2:8" ht="13.5" customHeight="1" x14ac:dyDescent="0.3">
      <c r="C12" s="20"/>
    </row>
    <row r="13" spans="2:8" ht="13.5" customHeight="1" x14ac:dyDescent="0.25"/>
    <row r="14" spans="2:8" x14ac:dyDescent="0.25">
      <c r="E14" s="182" t="s">
        <v>62</v>
      </c>
      <c r="F14" s="182">
        <v>202168</v>
      </c>
    </row>
    <row r="15" spans="2:8" ht="14" x14ac:dyDescent="0.3">
      <c r="B15" s="20"/>
      <c r="C15" s="20"/>
      <c r="E15" s="182" t="s">
        <v>742</v>
      </c>
      <c r="F15" s="23"/>
    </row>
    <row r="16" spans="2:8" x14ac:dyDescent="0.25">
      <c r="B16" s="4"/>
      <c r="C16" s="4"/>
      <c r="E16" s="182" t="s">
        <v>773</v>
      </c>
      <c r="F16" s="182"/>
    </row>
    <row r="17" spans="2:13" x14ac:dyDescent="0.25">
      <c r="B17" s="4"/>
      <c r="C17" s="4"/>
      <c r="E17" s="182"/>
      <c r="F17" s="182"/>
    </row>
    <row r="18" spans="2:13" ht="17.25" customHeight="1" x14ac:dyDescent="0.25">
      <c r="B18" s="217" t="s">
        <v>774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4" customHeight="1" x14ac:dyDescent="0.25">
      <c r="B20" s="101" t="s">
        <v>152</v>
      </c>
      <c r="C20" s="186" t="s">
        <v>496</v>
      </c>
      <c r="D20" s="101" t="s">
        <v>566</v>
      </c>
      <c r="E20" s="101" t="s">
        <v>37</v>
      </c>
      <c r="F20" s="117" t="s">
        <v>38</v>
      </c>
      <c r="M20" s="4"/>
    </row>
    <row r="21" spans="2:13" s="26" customFormat="1" ht="14" customHeight="1" x14ac:dyDescent="0.25">
      <c r="B21" s="220" t="s">
        <v>776</v>
      </c>
      <c r="C21" s="220" t="s">
        <v>777</v>
      </c>
      <c r="D21" s="50" t="s">
        <v>779</v>
      </c>
      <c r="E21" s="187" t="s">
        <v>34</v>
      </c>
      <c r="F21" s="67" t="s">
        <v>35</v>
      </c>
      <c r="M21" s="4"/>
    </row>
    <row r="22" spans="2:13" s="26" customFormat="1" ht="14" customHeight="1" x14ac:dyDescent="0.25">
      <c r="B22" s="222"/>
      <c r="C22" s="222"/>
      <c r="D22" s="35" t="s">
        <v>778</v>
      </c>
      <c r="E22" s="188" t="s">
        <v>34</v>
      </c>
      <c r="F22" s="84" t="s">
        <v>35</v>
      </c>
      <c r="M22" s="4"/>
    </row>
    <row r="23" spans="2:13" ht="23" customHeight="1" x14ac:dyDescent="0.25">
      <c r="B23" s="26" t="s">
        <v>775</v>
      </c>
      <c r="C23" s="26"/>
      <c r="D23" s="26"/>
      <c r="E23" s="64" t="s">
        <v>18</v>
      </c>
      <c r="F23" s="65" t="s">
        <v>592</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18:F18"/>
    <mergeCell ref="B21:B22"/>
    <mergeCell ref="C21:C22"/>
    <mergeCell ref="B24:E25"/>
  </mergeCells>
  <hyperlinks>
    <hyperlink ref="F6" r:id="rId1" xr:uid="{59001225-3226-4FA7-9847-C9E11D204737}"/>
  </hyperlinks>
  <pageMargins left="0.88" right="0.57999999999999996" top="0.5" bottom="0.5" header="0.5" footer="0.5"/>
  <pageSetup paperSize="9" scale="81" orientation="portrait" r:id="rId2"/>
  <headerFooter alignWithMargins="0"/>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81B9-DE51-43D6-AD9D-7D2743267365}">
  <sheetPr>
    <tabColor rgb="FF92D050"/>
    <pageSetUpPr fitToPage="1"/>
  </sheetPr>
  <dimension ref="B1:M28"/>
  <sheetViews>
    <sheetView showGridLines="0" topLeftCell="A9" zoomScaleNormal="100" workbookViewId="0">
      <selection activeCell="B18" sqref="B18:F18"/>
    </sheetView>
  </sheetViews>
  <sheetFormatPr defaultRowHeight="12.5" x14ac:dyDescent="0.25"/>
  <cols>
    <col min="1" max="1" width="12.1796875" customWidth="1"/>
    <col min="2" max="2" width="18.08984375" customWidth="1"/>
    <col min="3" max="3" width="54.90625" customWidth="1"/>
    <col min="4" max="4" width="12.90625" customWidth="1"/>
    <col min="5" max="5" width="13.3632812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49" t="s">
        <v>788</v>
      </c>
      <c r="C8" s="20"/>
      <c r="F8" s="21"/>
      <c r="H8" s="13"/>
    </row>
    <row r="9" spans="2:8" ht="13.5" customHeight="1" x14ac:dyDescent="0.3">
      <c r="B9" s="49" t="s">
        <v>789</v>
      </c>
      <c r="C9" s="20"/>
      <c r="E9" s="22"/>
      <c r="F9" s="37"/>
    </row>
    <row r="10" spans="2:8" ht="13.5" customHeight="1" x14ac:dyDescent="0.3">
      <c r="B10" s="49" t="s">
        <v>790</v>
      </c>
      <c r="C10" s="20"/>
      <c r="E10" s="22"/>
      <c r="F10" s="37"/>
    </row>
    <row r="11" spans="2:8" ht="13.5" customHeight="1" x14ac:dyDescent="0.3">
      <c r="B11" s="49" t="s">
        <v>787</v>
      </c>
      <c r="C11" s="20"/>
    </row>
    <row r="12" spans="2:8" ht="13.5" customHeight="1" x14ac:dyDescent="0.3">
      <c r="C12" s="20"/>
    </row>
    <row r="13" spans="2:8" ht="13.5" customHeight="1" x14ac:dyDescent="0.25"/>
    <row r="14" spans="2:8" x14ac:dyDescent="0.25">
      <c r="E14" s="182" t="s">
        <v>62</v>
      </c>
      <c r="F14" s="182">
        <v>202169</v>
      </c>
    </row>
    <row r="15" spans="2:8" ht="14" x14ac:dyDescent="0.3">
      <c r="B15" s="20"/>
      <c r="C15" s="20"/>
      <c r="E15" s="182" t="s">
        <v>742</v>
      </c>
      <c r="F15" s="23"/>
    </row>
    <row r="16" spans="2:8" x14ac:dyDescent="0.25">
      <c r="B16" s="4"/>
      <c r="C16" s="4"/>
      <c r="E16" s="182" t="s">
        <v>791</v>
      </c>
      <c r="F16" s="182"/>
    </row>
    <row r="17" spans="2:13" x14ac:dyDescent="0.25">
      <c r="B17" s="4"/>
      <c r="C17" s="4"/>
      <c r="E17" s="182"/>
      <c r="F17" s="182"/>
    </row>
    <row r="18" spans="2:13" ht="17.25" customHeight="1" x14ac:dyDescent="0.25">
      <c r="B18" s="217" t="s">
        <v>783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5.5" customHeight="1" x14ac:dyDescent="0.25">
      <c r="B20" s="211" t="s">
        <v>781</v>
      </c>
      <c r="C20" s="74" t="s">
        <v>496</v>
      </c>
      <c r="D20" s="211" t="s">
        <v>782</v>
      </c>
      <c r="E20" s="211" t="s">
        <v>37</v>
      </c>
      <c r="F20" s="117" t="s">
        <v>38</v>
      </c>
      <c r="M20" s="4"/>
    </row>
    <row r="21" spans="2:13" ht="23" customHeight="1" x14ac:dyDescent="0.25">
      <c r="B21" s="26"/>
      <c r="C21" s="26"/>
      <c r="D21" s="26"/>
      <c r="E21" s="64" t="s">
        <v>18</v>
      </c>
      <c r="F21" s="65" t="s">
        <v>38</v>
      </c>
    </row>
    <row r="23" spans="2:13" x14ac:dyDescent="0.25">
      <c r="B23" s="8" t="s">
        <v>20</v>
      </c>
      <c r="C23" s="8"/>
    </row>
    <row r="24" spans="2:13" x14ac:dyDescent="0.25">
      <c r="B24" s="8" t="s">
        <v>21</v>
      </c>
      <c r="C24" s="8"/>
    </row>
    <row r="25" spans="2:13" x14ac:dyDescent="0.25">
      <c r="B25" s="8"/>
      <c r="C25" s="8"/>
    </row>
    <row r="26" spans="2:13" x14ac:dyDescent="0.25">
      <c r="B26" s="4"/>
      <c r="C26" s="4"/>
    </row>
    <row r="28" spans="2:13" x14ac:dyDescent="0.25">
      <c r="B28" s="8" t="s">
        <v>22</v>
      </c>
      <c r="C28" s="8"/>
      <c r="D28" s="8" t="s">
        <v>23</v>
      </c>
      <c r="E28" s="8"/>
      <c r="F28" s="8"/>
    </row>
  </sheetData>
  <mergeCells count="1">
    <mergeCell ref="B18:F18"/>
  </mergeCells>
  <hyperlinks>
    <hyperlink ref="F6" r:id="rId1" xr:uid="{13825D4F-2424-4D91-8634-03A356F266E0}"/>
  </hyperlinks>
  <pageMargins left="0.88" right="0.57999999999999996" top="0.5" bottom="0.5" header="0.5" footer="0.5"/>
  <pageSetup paperSize="9" scale="79" orientation="portrait" r:id="rId2"/>
  <headerFooter alignWithMargins="0"/>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51D0-90A1-4B1C-BC0D-692DCB4426B6}">
  <sheetPr>
    <tabColor rgb="FF92D050"/>
    <pageSetUpPr fitToPage="1"/>
  </sheetPr>
  <dimension ref="B1:M33"/>
  <sheetViews>
    <sheetView showGridLines="0" topLeftCell="A10" zoomScaleNormal="100" workbookViewId="0">
      <selection activeCell="C20" sqref="C2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795</v>
      </c>
      <c r="C8" s="20"/>
      <c r="F8" s="21"/>
      <c r="H8" s="13"/>
    </row>
    <row r="9" spans="2:8" ht="13.5" customHeight="1" x14ac:dyDescent="0.3">
      <c r="B9" s="20" t="s">
        <v>796</v>
      </c>
      <c r="C9" s="20"/>
      <c r="E9" s="22"/>
      <c r="F9" s="37"/>
    </row>
    <row r="10" spans="2:8" ht="13.5" customHeight="1" x14ac:dyDescent="0.3">
      <c r="B10" s="20" t="s">
        <v>793</v>
      </c>
      <c r="C10" s="20"/>
      <c r="E10" s="22"/>
      <c r="F10" s="37"/>
    </row>
    <row r="11" spans="2:8" ht="13.5" customHeight="1" x14ac:dyDescent="0.3">
      <c r="B11" s="20" t="s">
        <v>794</v>
      </c>
      <c r="C11" s="20"/>
    </row>
    <row r="12" spans="2:8" ht="13.5" customHeight="1" x14ac:dyDescent="0.3">
      <c r="C12" s="20"/>
    </row>
    <row r="13" spans="2:8" ht="13.5" customHeight="1" x14ac:dyDescent="0.25"/>
    <row r="14" spans="2:8" x14ac:dyDescent="0.25">
      <c r="E14" s="182" t="s">
        <v>62</v>
      </c>
      <c r="F14" s="182">
        <v>202170</v>
      </c>
    </row>
    <row r="15" spans="2:8" ht="14" x14ac:dyDescent="0.3">
      <c r="B15" s="20"/>
      <c r="C15" s="20"/>
      <c r="E15" s="182" t="s">
        <v>742</v>
      </c>
      <c r="F15" s="23"/>
    </row>
    <row r="16" spans="2:8" x14ac:dyDescent="0.25">
      <c r="B16" s="4"/>
      <c r="C16" s="4"/>
      <c r="E16" s="182" t="s">
        <v>63</v>
      </c>
      <c r="F16" s="182"/>
    </row>
    <row r="17" spans="2:13" x14ac:dyDescent="0.25">
      <c r="B17" s="4"/>
      <c r="C17" s="4"/>
      <c r="E17" s="182"/>
      <c r="F17" s="182"/>
    </row>
    <row r="18" spans="2:13" ht="17.25" customHeight="1" x14ac:dyDescent="0.25">
      <c r="B18" s="217" t="s">
        <v>792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4" customHeight="1" x14ac:dyDescent="0.25">
      <c r="B20" s="101" t="s">
        <v>152</v>
      </c>
      <c r="C20" s="186" t="s">
        <v>496</v>
      </c>
      <c r="D20" s="101" t="s">
        <v>566</v>
      </c>
      <c r="E20" s="101" t="s">
        <v>37</v>
      </c>
      <c r="F20" s="117" t="s">
        <v>38</v>
      </c>
      <c r="M20" s="4"/>
    </row>
    <row r="21" spans="2:13" s="26" customFormat="1" ht="14" customHeight="1" x14ac:dyDescent="0.25">
      <c r="B21" s="220" t="s">
        <v>800</v>
      </c>
      <c r="C21" s="220" t="s">
        <v>777</v>
      </c>
      <c r="D21" s="50" t="s">
        <v>664</v>
      </c>
      <c r="E21" s="187" t="s">
        <v>34</v>
      </c>
      <c r="F21" s="67" t="s">
        <v>35</v>
      </c>
      <c r="M21" s="4"/>
    </row>
    <row r="22" spans="2:13" s="26" customFormat="1" ht="14" customHeight="1" x14ac:dyDescent="0.25">
      <c r="B22" s="222"/>
      <c r="C22" s="222"/>
      <c r="D22" s="35"/>
      <c r="E22" s="188"/>
      <c r="F22" s="84"/>
      <c r="M22" s="4"/>
    </row>
    <row r="23" spans="2:13" ht="23" customHeight="1" x14ac:dyDescent="0.25">
      <c r="B23" s="26" t="s">
        <v>775</v>
      </c>
      <c r="C23" s="26"/>
      <c r="D23" s="26"/>
      <c r="E23" s="64" t="s">
        <v>18</v>
      </c>
      <c r="F23" s="65" t="s">
        <v>797</v>
      </c>
    </row>
    <row r="24" spans="2:13" ht="12.75" customHeight="1" x14ac:dyDescent="0.25">
      <c r="B24" s="219" t="s">
        <v>19</v>
      </c>
      <c r="C24" s="219"/>
      <c r="D24" s="219"/>
      <c r="E24" s="219"/>
      <c r="F24" s="26"/>
    </row>
    <row r="25" spans="2:13" x14ac:dyDescent="0.25">
      <c r="B25" s="219"/>
      <c r="C25" s="219"/>
      <c r="D25" s="219"/>
      <c r="E25" s="219"/>
      <c r="F25" s="26"/>
    </row>
    <row r="26" spans="2:13" s="8" customFormat="1" x14ac:dyDescent="0.25">
      <c r="B26"/>
      <c r="C26"/>
      <c r="D26"/>
      <c r="E26"/>
      <c r="F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18:F18"/>
    <mergeCell ref="B21:B22"/>
    <mergeCell ref="C21:C22"/>
    <mergeCell ref="B24:E25"/>
  </mergeCells>
  <hyperlinks>
    <hyperlink ref="F6" r:id="rId1" xr:uid="{CEE116EF-580A-48B7-8600-B0EC4EB2CB2C}"/>
  </hyperlinks>
  <pageMargins left="0.88" right="0.57999999999999996" top="0.5" bottom="0.5" header="0.5" footer="0.5"/>
  <pageSetup paperSize="9" scale="81" orientation="portrait" r:id="rId2"/>
  <headerFooter alignWithMargins="0"/>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C35D-1FCD-40C7-B1B4-BB75BBEDF0DF}">
  <sheetPr>
    <tabColor rgb="FF92D050"/>
    <pageSetUpPr fitToPage="1"/>
  </sheetPr>
  <dimension ref="B1:M31"/>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795</v>
      </c>
      <c r="C8" s="20"/>
      <c r="F8" s="21"/>
      <c r="H8" s="13"/>
    </row>
    <row r="9" spans="2:8" ht="13.5" customHeight="1" x14ac:dyDescent="0.3">
      <c r="B9" s="20" t="s">
        <v>796</v>
      </c>
      <c r="C9" s="20"/>
      <c r="E9" s="22"/>
      <c r="F9" s="37"/>
    </row>
    <row r="10" spans="2:8" ht="13.5" customHeight="1" x14ac:dyDescent="0.3">
      <c r="B10" s="20" t="s">
        <v>793</v>
      </c>
      <c r="C10" s="20"/>
      <c r="E10" s="22"/>
      <c r="F10" s="37"/>
    </row>
    <row r="11" spans="2:8" ht="13.5" customHeight="1" x14ac:dyDescent="0.3">
      <c r="B11" s="20" t="s">
        <v>794</v>
      </c>
      <c r="C11" s="20"/>
    </row>
    <row r="12" spans="2:8" ht="13.5" customHeight="1" x14ac:dyDescent="0.3">
      <c r="C12" s="20"/>
    </row>
    <row r="13" spans="2:8" ht="13.5" customHeight="1" x14ac:dyDescent="0.25"/>
    <row r="14" spans="2:8" x14ac:dyDescent="0.25">
      <c r="E14" s="182" t="s">
        <v>62</v>
      </c>
      <c r="F14" s="182">
        <v>202171</v>
      </c>
    </row>
    <row r="15" spans="2:8" ht="14" x14ac:dyDescent="0.3">
      <c r="B15" s="20"/>
      <c r="C15" s="20"/>
      <c r="E15" s="182" t="s">
        <v>742</v>
      </c>
      <c r="F15" s="23"/>
    </row>
    <row r="16" spans="2:8" x14ac:dyDescent="0.25">
      <c r="B16" s="4"/>
      <c r="C16" s="4"/>
      <c r="E16" s="182" t="s">
        <v>63</v>
      </c>
      <c r="F16" s="182"/>
    </row>
    <row r="17" spans="2:13" x14ac:dyDescent="0.25">
      <c r="B17" s="4"/>
      <c r="C17" s="4"/>
      <c r="E17" s="182"/>
      <c r="F17" s="182"/>
    </row>
    <row r="18" spans="2:13" ht="17.25" customHeight="1" x14ac:dyDescent="0.25">
      <c r="B18" s="217" t="s">
        <v>801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4" customHeight="1" x14ac:dyDescent="0.25">
      <c r="B20" s="211" t="s">
        <v>152</v>
      </c>
      <c r="C20" s="74" t="s">
        <v>496</v>
      </c>
      <c r="D20" s="211" t="s">
        <v>566</v>
      </c>
      <c r="E20" s="211" t="s">
        <v>37</v>
      </c>
      <c r="F20" s="117" t="s">
        <v>38</v>
      </c>
      <c r="M20" s="4"/>
    </row>
    <row r="21" spans="2:13" ht="23" customHeight="1" x14ac:dyDescent="0.25">
      <c r="B21" s="26" t="s">
        <v>775</v>
      </c>
      <c r="C21" s="26"/>
      <c r="D21" s="26"/>
      <c r="E21" s="64" t="s">
        <v>18</v>
      </c>
      <c r="F21" s="65" t="s">
        <v>38</v>
      </c>
    </row>
    <row r="22" spans="2:13" ht="12.75" customHeight="1" x14ac:dyDescent="0.25">
      <c r="B22" s="219" t="s">
        <v>19</v>
      </c>
      <c r="C22" s="219"/>
      <c r="D22" s="219"/>
      <c r="E22" s="219"/>
      <c r="F22" s="26"/>
    </row>
    <row r="23" spans="2:13" x14ac:dyDescent="0.25">
      <c r="B23" s="219"/>
      <c r="C23" s="219"/>
      <c r="D23" s="219"/>
      <c r="E23" s="219"/>
      <c r="F23" s="26"/>
    </row>
    <row r="24" spans="2:13" s="8" customFormat="1" x14ac:dyDescent="0.25">
      <c r="B24"/>
      <c r="C24"/>
      <c r="D24"/>
      <c r="E24"/>
      <c r="F24"/>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2">
    <mergeCell ref="B18:F18"/>
    <mergeCell ref="B22:E23"/>
  </mergeCells>
  <hyperlinks>
    <hyperlink ref="F6" r:id="rId1" xr:uid="{889EDD9E-65C0-4D6E-920F-4207ABD339EB}"/>
  </hyperlinks>
  <pageMargins left="0.88" right="0.57999999999999996" top="0.5" bottom="0.5" header="0.5" footer="0.5"/>
  <pageSetup paperSize="9" scale="81" orientation="portrait" r:id="rId2"/>
  <headerFooter alignWithMargins="0"/>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7E6F-12B7-4168-83A6-1E471FD85BA9}">
  <sheetPr>
    <tabColor rgb="FF92D050"/>
    <pageSetUpPr fitToPage="1"/>
  </sheetPr>
  <dimension ref="B1:M29"/>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97</v>
      </c>
      <c r="C8" s="20"/>
      <c r="F8" s="21"/>
      <c r="H8" s="13"/>
    </row>
    <row r="9" spans="2:8" ht="13.5" customHeight="1" x14ac:dyDescent="0.3">
      <c r="B9" s="20" t="s">
        <v>803</v>
      </c>
      <c r="C9" s="20"/>
      <c r="E9" s="22"/>
      <c r="F9" s="37"/>
    </row>
    <row r="10" spans="2:8" ht="13.5" customHeight="1" x14ac:dyDescent="0.3">
      <c r="B10" s="20" t="s">
        <v>99</v>
      </c>
      <c r="C10" s="20"/>
      <c r="E10" s="22"/>
      <c r="F10" s="37"/>
    </row>
    <row r="11" spans="2:8" ht="13.5" customHeight="1" x14ac:dyDescent="0.3">
      <c r="B11" s="20" t="s">
        <v>100</v>
      </c>
      <c r="C11" s="20"/>
    </row>
    <row r="12" spans="2:8" ht="13.5" customHeight="1" x14ac:dyDescent="0.3">
      <c r="C12" s="20"/>
    </row>
    <row r="13" spans="2:8" ht="13.5" customHeight="1" x14ac:dyDescent="0.25"/>
    <row r="14" spans="2:8" x14ac:dyDescent="0.25">
      <c r="E14" s="182" t="s">
        <v>62</v>
      </c>
      <c r="F14" s="182">
        <v>202172</v>
      </c>
    </row>
    <row r="15" spans="2:8" ht="14" x14ac:dyDescent="0.3">
      <c r="B15" s="20"/>
      <c r="C15" s="20"/>
      <c r="E15" s="182" t="s">
        <v>742</v>
      </c>
      <c r="F15" s="23"/>
    </row>
    <row r="16" spans="2:8" x14ac:dyDescent="0.25">
      <c r="B16" s="4"/>
      <c r="C16" s="4"/>
      <c r="E16" s="182" t="s">
        <v>101</v>
      </c>
      <c r="F16" s="182"/>
    </row>
    <row r="17" spans="2:13" x14ac:dyDescent="0.25">
      <c r="B17" s="4"/>
      <c r="C17" s="4"/>
      <c r="E17" s="182"/>
      <c r="F17" s="182"/>
    </row>
    <row r="18" spans="2:13" ht="17.25" customHeight="1" x14ac:dyDescent="0.25">
      <c r="B18" s="217" t="s">
        <v>802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4" customHeight="1" x14ac:dyDescent="0.25">
      <c r="B20" s="211" t="s">
        <v>152</v>
      </c>
      <c r="C20" s="74" t="s">
        <v>496</v>
      </c>
      <c r="D20" s="211" t="s">
        <v>807</v>
      </c>
      <c r="E20" s="211" t="s">
        <v>37</v>
      </c>
      <c r="F20" s="117" t="s">
        <v>38</v>
      </c>
      <c r="M20" s="4"/>
    </row>
    <row r="21" spans="2:13" ht="23" customHeight="1" x14ac:dyDescent="0.25">
      <c r="B21" s="26" t="s">
        <v>775</v>
      </c>
      <c r="C21" s="26"/>
      <c r="D21" s="26"/>
      <c r="E21" s="64" t="s">
        <v>18</v>
      </c>
      <c r="F21" s="65" t="s">
        <v>38</v>
      </c>
    </row>
    <row r="22" spans="2:13" ht="12.75" customHeight="1" x14ac:dyDescent="0.25">
      <c r="B22" s="219" t="s">
        <v>19</v>
      </c>
      <c r="C22" s="219"/>
      <c r="D22" s="219"/>
      <c r="E22" s="219"/>
      <c r="F22" s="26"/>
    </row>
    <row r="24" spans="2:13" x14ac:dyDescent="0.25">
      <c r="B24" s="8" t="s">
        <v>20</v>
      </c>
      <c r="C24" s="8"/>
    </row>
    <row r="25" spans="2:13" x14ac:dyDescent="0.25">
      <c r="B25" s="8" t="s">
        <v>21</v>
      </c>
      <c r="C25" s="8"/>
    </row>
    <row r="26" spans="2:13" x14ac:dyDescent="0.25">
      <c r="B26" s="8"/>
      <c r="C26" s="8"/>
    </row>
    <row r="27" spans="2:13" x14ac:dyDescent="0.25">
      <c r="B27" s="4"/>
      <c r="C27" s="4"/>
    </row>
    <row r="29" spans="2:13" x14ac:dyDescent="0.25">
      <c r="B29" s="8" t="s">
        <v>22</v>
      </c>
      <c r="C29" s="8"/>
      <c r="D29" s="8" t="s">
        <v>23</v>
      </c>
      <c r="E29" s="8"/>
      <c r="F29" s="8"/>
    </row>
  </sheetData>
  <mergeCells count="2">
    <mergeCell ref="B18:F18"/>
    <mergeCell ref="B22:E22"/>
  </mergeCells>
  <hyperlinks>
    <hyperlink ref="F6" r:id="rId1" xr:uid="{F60EC688-4373-48B1-B390-FA3E0A2AE387}"/>
  </hyperlinks>
  <pageMargins left="0.88" right="0.57999999999999996" top="0.5" bottom="0.5" header="0.5" footer="0.5"/>
  <pageSetup paperSize="9" scale="81" orientation="portrait" r:id="rId2"/>
  <headerFooter alignWithMargins="0"/>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FE63-F41A-49AD-A140-653C16453B3C}">
  <sheetPr>
    <tabColor rgb="FF92D050"/>
    <pageSetUpPr fitToPage="1"/>
  </sheetPr>
  <dimension ref="B1:M29"/>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
        <v>808</v>
      </c>
      <c r="C8" s="20"/>
      <c r="F8" s="21"/>
      <c r="H8" s="13"/>
    </row>
    <row r="9" spans="2:8" ht="13.5" customHeight="1" x14ac:dyDescent="0.3">
      <c r="B9" s="20" t="s">
        <v>809</v>
      </c>
      <c r="C9" s="20"/>
      <c r="E9" s="22"/>
      <c r="F9" s="37"/>
    </row>
    <row r="10" spans="2:8" ht="13.5" customHeight="1" x14ac:dyDescent="0.3">
      <c r="B10" s="20" t="s">
        <v>810</v>
      </c>
      <c r="C10" s="20"/>
      <c r="E10" s="22"/>
      <c r="F10" s="37"/>
    </row>
    <row r="11" spans="2:8" ht="13.5" customHeight="1" x14ac:dyDescent="0.3">
      <c r="B11" s="20" t="s">
        <v>811</v>
      </c>
      <c r="C11" s="20"/>
    </row>
    <row r="12" spans="2:8" ht="13.5" customHeight="1" x14ac:dyDescent="0.3">
      <c r="C12" s="20"/>
    </row>
    <row r="13" spans="2:8" ht="13.5" customHeight="1" x14ac:dyDescent="0.25"/>
    <row r="14" spans="2:8" x14ac:dyDescent="0.25">
      <c r="E14" s="182" t="s">
        <v>62</v>
      </c>
      <c r="F14" s="182">
        <v>202173</v>
      </c>
    </row>
    <row r="15" spans="2:8" ht="14" x14ac:dyDescent="0.3">
      <c r="B15" s="20"/>
      <c r="C15" s="20"/>
      <c r="E15" s="182" t="s">
        <v>742</v>
      </c>
      <c r="F15" s="23"/>
    </row>
    <row r="16" spans="2:8" x14ac:dyDescent="0.25">
      <c r="B16" s="4"/>
      <c r="C16" s="4"/>
      <c r="E16" s="182" t="s">
        <v>804</v>
      </c>
      <c r="F16" s="182"/>
    </row>
    <row r="17" spans="2:13" x14ac:dyDescent="0.25">
      <c r="B17" s="4"/>
      <c r="C17" s="4"/>
      <c r="E17" s="182"/>
      <c r="F17" s="182"/>
    </row>
    <row r="18" spans="2:13" ht="17.25" customHeight="1" x14ac:dyDescent="0.25">
      <c r="B18" s="217" t="s">
        <v>806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4" customHeight="1" x14ac:dyDescent="0.25">
      <c r="B20" s="211" t="s">
        <v>152</v>
      </c>
      <c r="C20" s="74" t="s">
        <v>496</v>
      </c>
      <c r="D20" s="211" t="s">
        <v>805</v>
      </c>
      <c r="E20" s="211" t="s">
        <v>37</v>
      </c>
      <c r="F20" s="117" t="s">
        <v>38</v>
      </c>
      <c r="M20" s="4"/>
    </row>
    <row r="21" spans="2:13" ht="23" customHeight="1" x14ac:dyDescent="0.25">
      <c r="B21" s="26" t="s">
        <v>775</v>
      </c>
      <c r="C21" s="26"/>
      <c r="D21" s="26"/>
      <c r="E21" s="64" t="s">
        <v>18</v>
      </c>
      <c r="F21" s="65" t="s">
        <v>38</v>
      </c>
    </row>
    <row r="22" spans="2:13" ht="12.75" customHeight="1" x14ac:dyDescent="0.25">
      <c r="B22" s="219" t="s">
        <v>19</v>
      </c>
      <c r="C22" s="219"/>
      <c r="D22" s="219"/>
      <c r="E22" s="219"/>
      <c r="F22" s="26"/>
    </row>
    <row r="24" spans="2:13" x14ac:dyDescent="0.25">
      <c r="B24" s="8" t="s">
        <v>20</v>
      </c>
      <c r="C24" s="8"/>
    </row>
    <row r="25" spans="2:13" x14ac:dyDescent="0.25">
      <c r="B25" s="8" t="s">
        <v>21</v>
      </c>
      <c r="C25" s="8"/>
    </row>
    <row r="26" spans="2:13" x14ac:dyDescent="0.25">
      <c r="B26" s="8"/>
      <c r="C26" s="8"/>
    </row>
    <row r="27" spans="2:13" x14ac:dyDescent="0.25">
      <c r="B27" s="4"/>
      <c r="C27" s="4"/>
    </row>
    <row r="29" spans="2:13" x14ac:dyDescent="0.25">
      <c r="B29" s="8" t="s">
        <v>22</v>
      </c>
      <c r="C29" s="8"/>
      <c r="D29" s="8" t="s">
        <v>23</v>
      </c>
      <c r="E29" s="8"/>
      <c r="F29" s="8"/>
    </row>
  </sheetData>
  <mergeCells count="2">
    <mergeCell ref="B18:F18"/>
    <mergeCell ref="B22:E22"/>
  </mergeCells>
  <hyperlinks>
    <hyperlink ref="F6" r:id="rId1" xr:uid="{040EF154-0975-408B-8298-C11166D8C90F}"/>
  </hyperlinks>
  <pageMargins left="0.88" right="0.57999999999999996" top="0.5" bottom="0.5" header="0.5" footer="0.5"/>
  <pageSetup paperSize="9" scale="81" orientation="portrait" r:id="rId2"/>
  <headerFooter alignWithMargins="0"/>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2E10-21B2-49B5-8F86-03C98EFCC9A7}">
  <sheetPr>
    <tabColor rgb="FF92D050"/>
    <pageSetUpPr fitToPage="1"/>
  </sheetPr>
  <dimension ref="B1:M31"/>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202174</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902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7.5" x14ac:dyDescent="0.25">
      <c r="B20" s="211" t="s">
        <v>815</v>
      </c>
      <c r="C20" s="74" t="s">
        <v>816</v>
      </c>
      <c r="D20" s="211" t="s">
        <v>521</v>
      </c>
      <c r="E20" s="74" t="s">
        <v>817</v>
      </c>
      <c r="F20" s="214" t="s">
        <v>825</v>
      </c>
      <c r="M20" s="4"/>
    </row>
    <row r="21" spans="2:13" s="26" customFormat="1" ht="28.5" customHeight="1" x14ac:dyDescent="0.25">
      <c r="B21" s="59" t="s">
        <v>819</v>
      </c>
      <c r="C21" s="59" t="s">
        <v>818</v>
      </c>
      <c r="D21" s="213" t="s">
        <v>522</v>
      </c>
      <c r="E21" s="59" t="s">
        <v>817</v>
      </c>
      <c r="F21" s="210" t="s">
        <v>820</v>
      </c>
      <c r="M21" s="4"/>
    </row>
    <row r="22" spans="2:13" s="26" customFormat="1" ht="17.5" customHeight="1" x14ac:dyDescent="0.25">
      <c r="B22" s="213" t="s">
        <v>821</v>
      </c>
      <c r="C22" s="59" t="s">
        <v>822</v>
      </c>
      <c r="D22" s="213" t="s">
        <v>823</v>
      </c>
      <c r="E22" s="213"/>
      <c r="F22" s="212" t="s">
        <v>824</v>
      </c>
      <c r="M22" s="4"/>
    </row>
    <row r="23" spans="2:13" ht="23" customHeight="1" x14ac:dyDescent="0.25">
      <c r="B23" s="26" t="s">
        <v>775</v>
      </c>
      <c r="C23" s="26"/>
      <c r="D23" s="26"/>
      <c r="E23" s="64" t="s">
        <v>18</v>
      </c>
      <c r="F23" s="65" t="s">
        <v>834</v>
      </c>
    </row>
    <row r="24" spans="2:13" ht="12.75" customHeight="1" x14ac:dyDescent="0.25">
      <c r="B24" s="219" t="s">
        <v>19</v>
      </c>
      <c r="C24" s="219"/>
      <c r="D24" s="219"/>
      <c r="E24" s="219"/>
      <c r="F24" s="26"/>
    </row>
    <row r="26" spans="2:13" x14ac:dyDescent="0.25">
      <c r="B26" s="8" t="s">
        <v>20</v>
      </c>
      <c r="C26" s="8"/>
    </row>
    <row r="27" spans="2:13" x14ac:dyDescent="0.25">
      <c r="B27" s="8" t="s">
        <v>21</v>
      </c>
      <c r="C27" s="8"/>
    </row>
    <row r="28" spans="2:13" x14ac:dyDescent="0.25">
      <c r="B28" s="8"/>
      <c r="C28" s="8"/>
    </row>
    <row r="29" spans="2:13" x14ac:dyDescent="0.25">
      <c r="B29" s="4"/>
      <c r="C29" s="4"/>
    </row>
    <row r="31" spans="2:13" x14ac:dyDescent="0.25">
      <c r="B31" s="8" t="s">
        <v>22</v>
      </c>
      <c r="C31" s="8"/>
      <c r="D31" s="8" t="s">
        <v>23</v>
      </c>
      <c r="E31" s="8"/>
      <c r="F31" s="8"/>
    </row>
  </sheetData>
  <mergeCells count="2">
    <mergeCell ref="B18:F18"/>
    <mergeCell ref="B24:E24"/>
  </mergeCells>
  <hyperlinks>
    <hyperlink ref="F6" r:id="rId1" xr:uid="{1E4E75DD-0A80-46D0-B17A-E2153248612A}"/>
  </hyperlinks>
  <pageMargins left="0.88" right="0.57999999999999996" top="0.5" bottom="0.5" header="0.5" footer="0.5"/>
  <pageSetup paperSize="9" scale="80" orientation="portrait" r:id="rId2"/>
  <headerFooter alignWithMargins="0"/>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055F-4A69-4E1F-BB3E-F232C9343487}">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202175</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826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7.5" x14ac:dyDescent="0.25">
      <c r="B20" s="211" t="s">
        <v>827</v>
      </c>
      <c r="C20" s="74" t="s">
        <v>828</v>
      </c>
      <c r="D20" s="211" t="s">
        <v>829</v>
      </c>
      <c r="E20" s="74" t="s">
        <v>817</v>
      </c>
      <c r="F20" s="214" t="s">
        <v>825</v>
      </c>
      <c r="M20" s="4"/>
    </row>
    <row r="21" spans="2:13" s="26" customFormat="1" ht="17.5" customHeight="1" x14ac:dyDescent="0.25">
      <c r="B21" s="213" t="s">
        <v>821</v>
      </c>
      <c r="C21" s="59" t="s">
        <v>830</v>
      </c>
      <c r="D21" s="213" t="s">
        <v>831</v>
      </c>
      <c r="E21" s="213"/>
      <c r="F21" s="212" t="s">
        <v>832</v>
      </c>
      <c r="M21" s="4"/>
    </row>
    <row r="22" spans="2:13" ht="23" customHeight="1" x14ac:dyDescent="0.25">
      <c r="B22" s="26" t="s">
        <v>775</v>
      </c>
      <c r="C22" s="26"/>
      <c r="D22" s="26"/>
      <c r="E22" s="64" t="s">
        <v>18</v>
      </c>
      <c r="F22" s="65" t="s">
        <v>833</v>
      </c>
    </row>
    <row r="23" spans="2:13" ht="12.75" customHeight="1" x14ac:dyDescent="0.25">
      <c r="B23" s="219" t="s">
        <v>19</v>
      </c>
      <c r="C23" s="219"/>
      <c r="D23" s="219"/>
      <c r="E23" s="219"/>
      <c r="F23"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2">
    <mergeCell ref="B18:F18"/>
    <mergeCell ref="B23:E23"/>
  </mergeCells>
  <hyperlinks>
    <hyperlink ref="F6" r:id="rId1" xr:uid="{D2F5041B-B7DD-4744-A19E-3F7FF5A299B6}"/>
  </hyperlinks>
  <pageMargins left="0.88" right="0.57999999999999996" top="0.5" bottom="0.5" header="0.5" footer="0.5"/>
  <pageSetup paperSize="9" scale="80" orientation="portrait" r:id="rId2"/>
  <headerFooter alignWithMargins="0"/>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C2A0-4446-4E82-8D86-18BE21307042}">
  <sheetPr>
    <tabColor rgb="FF92D050"/>
    <pageSetUpPr fitToPage="1"/>
  </sheetPr>
  <dimension ref="B1:M32"/>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202176</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836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25" x14ac:dyDescent="0.25">
      <c r="B20" s="74" t="s">
        <v>838</v>
      </c>
      <c r="C20" s="74" t="s">
        <v>837</v>
      </c>
      <c r="D20" s="211" t="s">
        <v>829</v>
      </c>
      <c r="E20" s="186" t="s">
        <v>817</v>
      </c>
      <c r="F20" s="192" t="s">
        <v>839</v>
      </c>
      <c r="M20" s="4"/>
    </row>
    <row r="21" spans="2:13" s="26" customFormat="1" ht="25" x14ac:dyDescent="0.25">
      <c r="B21" s="220" t="s">
        <v>840</v>
      </c>
      <c r="C21" s="220" t="s">
        <v>841</v>
      </c>
      <c r="D21" s="259" t="s">
        <v>842</v>
      </c>
      <c r="E21" s="183" t="s">
        <v>843</v>
      </c>
      <c r="F21" s="192" t="s">
        <v>844</v>
      </c>
      <c r="M21" s="4"/>
    </row>
    <row r="22" spans="2:13" s="26" customFormat="1" x14ac:dyDescent="0.25">
      <c r="B22" s="222"/>
      <c r="C22" s="222"/>
      <c r="D22" s="242"/>
      <c r="E22" s="185"/>
      <c r="F22" s="209"/>
      <c r="M22" s="4"/>
    </row>
    <row r="23" spans="2:13" s="26" customFormat="1" ht="17.5" customHeight="1" x14ac:dyDescent="0.25">
      <c r="B23" s="213" t="s">
        <v>821</v>
      </c>
      <c r="C23" s="59" t="s">
        <v>855</v>
      </c>
      <c r="D23" s="213" t="s">
        <v>845</v>
      </c>
      <c r="E23" s="191"/>
      <c r="F23" s="212">
        <v>46.8</v>
      </c>
      <c r="M23" s="4"/>
    </row>
    <row r="24" spans="2:13" ht="23" customHeight="1" x14ac:dyDescent="0.25">
      <c r="B24" s="26" t="s">
        <v>775</v>
      </c>
      <c r="C24" s="26"/>
      <c r="D24" s="26"/>
      <c r="E24" s="64" t="s">
        <v>18</v>
      </c>
      <c r="F24" s="65">
        <v>1326.8</v>
      </c>
    </row>
    <row r="25" spans="2:13" ht="12.75" customHeight="1" x14ac:dyDescent="0.25">
      <c r="B25" s="219" t="s">
        <v>19</v>
      </c>
      <c r="C25" s="219"/>
      <c r="D25" s="219"/>
      <c r="E25" s="219"/>
      <c r="F25" s="26"/>
    </row>
    <row r="27" spans="2:13" x14ac:dyDescent="0.25">
      <c r="B27" s="8" t="s">
        <v>20</v>
      </c>
      <c r="C27" s="8"/>
    </row>
    <row r="28" spans="2:13" x14ac:dyDescent="0.25">
      <c r="B28" s="8" t="s">
        <v>21</v>
      </c>
      <c r="C28" s="8"/>
    </row>
    <row r="29" spans="2:13" x14ac:dyDescent="0.25">
      <c r="B29" s="8"/>
      <c r="C29" s="8"/>
    </row>
    <row r="30" spans="2:13" x14ac:dyDescent="0.25">
      <c r="B30" s="4"/>
      <c r="C30" s="4"/>
    </row>
    <row r="32" spans="2:13" x14ac:dyDescent="0.25">
      <c r="B32" s="8" t="s">
        <v>22</v>
      </c>
      <c r="C32" s="8"/>
      <c r="D32" s="8" t="s">
        <v>23</v>
      </c>
      <c r="E32" s="8"/>
      <c r="F32" s="8"/>
    </row>
  </sheetData>
  <mergeCells count="5">
    <mergeCell ref="B18:F18"/>
    <mergeCell ref="B25:E25"/>
    <mergeCell ref="B21:B22"/>
    <mergeCell ref="C21:C22"/>
    <mergeCell ref="D21:D22"/>
  </mergeCells>
  <hyperlinks>
    <hyperlink ref="F6" r:id="rId1" xr:uid="{D40618A7-C0B9-4FA7-B023-62E6FD8C8E4D}"/>
  </hyperlinks>
  <pageMargins left="0.88" right="0.57999999999999996" top="0.5" bottom="0.5" header="0.5" footer="0.5"/>
  <pageSetup paperSize="9" scale="80" orientation="portrait" r:id="rId2"/>
  <headerFooter alignWithMargins="0"/>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B758-4EBE-473B-BB52-EF717F7555A3}">
  <sheetPr>
    <tabColor rgb="FF92D050"/>
    <pageSetUpPr fitToPage="1"/>
  </sheetPr>
  <dimension ref="B1:M30"/>
  <sheetViews>
    <sheetView showGridLines="0" topLeftCell="A13"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202177</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854</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7.5" x14ac:dyDescent="0.25">
      <c r="B20" s="74" t="s">
        <v>848</v>
      </c>
      <c r="C20" s="74" t="s">
        <v>847</v>
      </c>
      <c r="D20" s="211" t="s">
        <v>851</v>
      </c>
      <c r="E20" s="186" t="s">
        <v>852</v>
      </c>
      <c r="F20" s="192" t="s">
        <v>853</v>
      </c>
      <c r="M20" s="4"/>
    </row>
    <row r="21" spans="2:13" s="26" customFormat="1" ht="17.5" customHeight="1" x14ac:dyDescent="0.25">
      <c r="B21" s="213" t="s">
        <v>821</v>
      </c>
      <c r="C21" s="59" t="s">
        <v>849</v>
      </c>
      <c r="D21" s="213" t="s">
        <v>850</v>
      </c>
      <c r="E21" s="213"/>
      <c r="F21" s="117">
        <v>12.5</v>
      </c>
      <c r="M21" s="4"/>
    </row>
    <row r="22" spans="2:13" ht="23" customHeight="1" x14ac:dyDescent="0.25">
      <c r="B22" s="26" t="s">
        <v>775</v>
      </c>
      <c r="C22" s="26"/>
      <c r="D22" s="26"/>
      <c r="E22" s="64" t="s">
        <v>18</v>
      </c>
      <c r="F22" s="65">
        <v>1032.5</v>
      </c>
    </row>
    <row r="23" spans="2:13" ht="12.75" customHeight="1" x14ac:dyDescent="0.25">
      <c r="B23" s="219" t="s">
        <v>19</v>
      </c>
      <c r="C23" s="219"/>
      <c r="D23" s="219"/>
      <c r="E23" s="219"/>
      <c r="F23"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2">
    <mergeCell ref="B18:F18"/>
    <mergeCell ref="B23:E23"/>
  </mergeCells>
  <hyperlinks>
    <hyperlink ref="F6" r:id="rId1" xr:uid="{A4BA710D-7CB8-4F83-B3F8-A1860A7A5D17}"/>
  </hyperlinks>
  <pageMargins left="0.88" right="0.57999999999999996" top="0.5" bottom="0.5" header="0.5" footer="0.5"/>
  <pageSetup paperSize="9" scale="80" orientation="portrait" r:id="rId2"/>
  <headerFooter alignWithMargins="0"/>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9F36-5BA8-4E48-8FD8-A979D11C0ADD}">
  <sheetPr>
    <tabColor rgb="FF92D050"/>
    <pageSetUpPr fitToPage="1"/>
  </sheetPr>
  <dimension ref="B1:M33"/>
  <sheetViews>
    <sheetView showGridLines="0"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202178</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873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x14ac:dyDescent="0.25">
      <c r="B20" s="59" t="s">
        <v>856</v>
      </c>
      <c r="C20" s="74" t="s">
        <v>857</v>
      </c>
      <c r="D20" s="211" t="s">
        <v>858</v>
      </c>
      <c r="E20" s="74" t="s">
        <v>859</v>
      </c>
      <c r="F20" s="214">
        <v>212.5</v>
      </c>
      <c r="M20" s="4"/>
    </row>
    <row r="21" spans="2:13" s="26" customFormat="1" ht="28.5" customHeight="1" x14ac:dyDescent="0.25">
      <c r="B21" s="59" t="s">
        <v>860</v>
      </c>
      <c r="C21" s="59" t="s">
        <v>861</v>
      </c>
      <c r="D21" s="190" t="s">
        <v>660</v>
      </c>
      <c r="E21" s="183" t="s">
        <v>862</v>
      </c>
      <c r="F21" s="215" t="s">
        <v>863</v>
      </c>
      <c r="M21" s="4"/>
    </row>
    <row r="22" spans="2:13" s="26" customFormat="1" ht="14.5" customHeight="1" x14ac:dyDescent="0.25">
      <c r="B22" s="220" t="s">
        <v>867</v>
      </c>
      <c r="C22" s="223" t="s">
        <v>868</v>
      </c>
      <c r="D22" s="190" t="s">
        <v>869</v>
      </c>
      <c r="E22" s="183" t="s">
        <v>870</v>
      </c>
      <c r="F22" s="207">
        <v>595</v>
      </c>
      <c r="M22" s="4"/>
    </row>
    <row r="23" spans="2:13" s="26" customFormat="1" ht="12" customHeight="1" x14ac:dyDescent="0.25">
      <c r="B23" s="222"/>
      <c r="C23" s="225"/>
      <c r="D23" s="191"/>
      <c r="E23" s="185" t="s">
        <v>871</v>
      </c>
      <c r="F23" s="209">
        <v>297.5</v>
      </c>
      <c r="M23" s="4"/>
    </row>
    <row r="24" spans="2:13" s="26" customFormat="1" ht="17.5" customHeight="1" x14ac:dyDescent="0.25">
      <c r="B24" s="213" t="s">
        <v>821</v>
      </c>
      <c r="C24" s="59" t="s">
        <v>864</v>
      </c>
      <c r="D24" s="191" t="s">
        <v>865</v>
      </c>
      <c r="E24" s="191"/>
      <c r="F24" s="212" t="s">
        <v>866</v>
      </c>
      <c r="M24" s="4"/>
    </row>
    <row r="25" spans="2:13" ht="23" customHeight="1" x14ac:dyDescent="0.25">
      <c r="B25" s="26" t="s">
        <v>775</v>
      </c>
      <c r="C25" s="26"/>
      <c r="D25" s="26"/>
      <c r="E25" s="64" t="s">
        <v>18</v>
      </c>
      <c r="F25" s="65" t="s">
        <v>872</v>
      </c>
    </row>
    <row r="26" spans="2:13" ht="12.75" customHeight="1" x14ac:dyDescent="0.25">
      <c r="B26" s="219" t="s">
        <v>19</v>
      </c>
      <c r="C26" s="219"/>
      <c r="D26" s="219"/>
      <c r="E26" s="219"/>
      <c r="F26" s="26"/>
    </row>
    <row r="28" spans="2:13" x14ac:dyDescent="0.25">
      <c r="B28" s="8" t="s">
        <v>20</v>
      </c>
      <c r="C28" s="8"/>
    </row>
    <row r="29" spans="2:13" x14ac:dyDescent="0.25">
      <c r="B29" s="8" t="s">
        <v>21</v>
      </c>
      <c r="C29" s="8"/>
    </row>
    <row r="30" spans="2:13" x14ac:dyDescent="0.25">
      <c r="B30" s="8"/>
      <c r="C30" s="8"/>
    </row>
    <row r="31" spans="2:13" x14ac:dyDescent="0.25">
      <c r="B31" s="4"/>
      <c r="C31" s="4"/>
    </row>
    <row r="33" spans="2:6" x14ac:dyDescent="0.25">
      <c r="B33" s="8" t="s">
        <v>22</v>
      </c>
      <c r="C33" s="8"/>
      <c r="D33" s="8" t="s">
        <v>23</v>
      </c>
      <c r="E33" s="8"/>
      <c r="F33" s="8"/>
    </row>
  </sheetData>
  <mergeCells count="4">
    <mergeCell ref="B18:F18"/>
    <mergeCell ref="B26:E26"/>
    <mergeCell ref="B22:B23"/>
    <mergeCell ref="C22:C23"/>
  </mergeCells>
  <hyperlinks>
    <hyperlink ref="F6" r:id="rId1" xr:uid="{B3BF4622-B49C-417E-9D84-20A387BA47CB}"/>
  </hyperlinks>
  <pageMargins left="0.88" right="0.57999999999999996" top="0.5" bottom="0.5" header="0.5" footer="0.5"/>
  <pageSetup paperSize="9" scale="80" orientation="portrait" r:id="rId2"/>
  <headerFooter alignWithMargins="0"/>
  <drawing r:id="rId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228C-C7B9-41C9-9210-1F17523B3DCE}">
  <sheetPr>
    <tabColor rgb="FF92D050"/>
    <pageSetUpPr fitToPage="1"/>
  </sheetPr>
  <dimension ref="B1:M30"/>
  <sheetViews>
    <sheetView showGridLines="0" topLeftCell="A10"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202179</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876</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37.5" x14ac:dyDescent="0.25">
      <c r="B20" s="74" t="s">
        <v>884</v>
      </c>
      <c r="C20" s="74" t="s">
        <v>877</v>
      </c>
      <c r="D20" s="211" t="s">
        <v>878</v>
      </c>
      <c r="E20" s="186" t="s">
        <v>879</v>
      </c>
      <c r="F20" s="192" t="s">
        <v>883</v>
      </c>
      <c r="M20" s="4"/>
    </row>
    <row r="21" spans="2:13" s="26" customFormat="1" ht="17.5" customHeight="1" x14ac:dyDescent="0.25">
      <c r="B21" s="213" t="s">
        <v>369</v>
      </c>
      <c r="C21" s="59" t="s">
        <v>881</v>
      </c>
      <c r="D21" s="213" t="s">
        <v>882</v>
      </c>
      <c r="E21" s="213"/>
      <c r="F21" s="117">
        <v>5</v>
      </c>
      <c r="M21" s="4"/>
    </row>
    <row r="22" spans="2:13" ht="23" customHeight="1" x14ac:dyDescent="0.25">
      <c r="B22" s="26" t="s">
        <v>775</v>
      </c>
      <c r="C22" s="26"/>
      <c r="D22" s="26"/>
      <c r="E22" s="64" t="s">
        <v>18</v>
      </c>
      <c r="F22" s="65">
        <v>405</v>
      </c>
    </row>
    <row r="23" spans="2:13" ht="12.75" customHeight="1" x14ac:dyDescent="0.25">
      <c r="B23" s="219" t="s">
        <v>19</v>
      </c>
      <c r="C23" s="219"/>
      <c r="D23" s="219"/>
      <c r="E23" s="219"/>
      <c r="F23"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2">
    <mergeCell ref="B18:F18"/>
    <mergeCell ref="B23:E23"/>
  </mergeCells>
  <hyperlinks>
    <hyperlink ref="F6" r:id="rId1" xr:uid="{F695193D-59E9-4E13-9093-2EC1EB10B14F}"/>
  </hyperlinks>
  <pageMargins left="0.88" right="0.57999999999999996" top="0.5" bottom="0.5" header="0.5" footer="0.5"/>
  <pageSetup paperSize="9" scale="80" orientation="portrait" r:id="rId2"/>
  <headerFooter alignWithMargins="0"/>
  <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3202-6003-416F-88DB-29C220F332D6}">
  <sheetPr>
    <tabColor rgb="FF92D050"/>
    <pageSetUpPr fitToPage="1"/>
  </sheetPr>
  <dimension ref="B1:M30"/>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202180</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651</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50" x14ac:dyDescent="0.25">
      <c r="B20" s="74" t="s">
        <v>885</v>
      </c>
      <c r="C20" s="74" t="s">
        <v>886</v>
      </c>
      <c r="D20" s="211" t="s">
        <v>887</v>
      </c>
      <c r="E20" s="186" t="s">
        <v>888</v>
      </c>
      <c r="F20" s="192" t="s">
        <v>889</v>
      </c>
      <c r="M20" s="4"/>
    </row>
    <row r="21" spans="2:13" s="26" customFormat="1" ht="17.5" customHeight="1" x14ac:dyDescent="0.25">
      <c r="B21" s="213" t="s">
        <v>369</v>
      </c>
      <c r="C21" s="59" t="s">
        <v>855</v>
      </c>
      <c r="D21" s="213" t="s">
        <v>890</v>
      </c>
      <c r="E21" s="213"/>
      <c r="F21" s="117">
        <v>22.4</v>
      </c>
      <c r="M21" s="4"/>
    </row>
    <row r="22" spans="2:13" ht="23" customHeight="1" x14ac:dyDescent="0.25">
      <c r="B22" s="26" t="s">
        <v>775</v>
      </c>
      <c r="C22" s="26"/>
      <c r="D22" s="26"/>
      <c r="E22" s="64" t="s">
        <v>18</v>
      </c>
      <c r="F22" s="65">
        <v>662.4</v>
      </c>
    </row>
    <row r="23" spans="2:13" ht="12.75" customHeight="1" x14ac:dyDescent="0.25">
      <c r="B23" s="219" t="s">
        <v>19</v>
      </c>
      <c r="C23" s="219"/>
      <c r="D23" s="219"/>
      <c r="E23" s="219"/>
      <c r="F23"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2">
    <mergeCell ref="B18:F18"/>
    <mergeCell ref="B23:E23"/>
  </mergeCells>
  <hyperlinks>
    <hyperlink ref="F6" r:id="rId1" xr:uid="{DB0EFBAA-EA13-40EC-91E5-C8BAA7CFCA1F}"/>
  </hyperlinks>
  <pageMargins left="0.88" right="0.57999999999999996" top="0.5" bottom="0.5" header="0.5" footer="0.5"/>
  <pageSetup paperSize="9" scale="80" orientation="portrait" r:id="rId2"/>
  <headerFooter alignWithMargins="0"/>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B994-5919-4A96-9263-0FD8BD6BFC0F}">
  <sheetPr>
    <tabColor rgb="FF92D050"/>
    <pageSetUpPr fitToPage="1"/>
  </sheetPr>
  <dimension ref="B1:M30"/>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202181</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892</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62.5" x14ac:dyDescent="0.25">
      <c r="B20" s="74" t="s">
        <v>848</v>
      </c>
      <c r="C20" s="74" t="s">
        <v>895</v>
      </c>
      <c r="D20" s="211" t="s">
        <v>767</v>
      </c>
      <c r="E20" s="186" t="s">
        <v>817</v>
      </c>
      <c r="F20" s="192" t="s">
        <v>825</v>
      </c>
      <c r="M20" s="4"/>
    </row>
    <row r="21" spans="2:13" s="26" customFormat="1" ht="17.5" customHeight="1" x14ac:dyDescent="0.25">
      <c r="B21" s="213" t="s">
        <v>369</v>
      </c>
      <c r="C21" s="59" t="s">
        <v>893</v>
      </c>
      <c r="D21" s="213" t="s">
        <v>890</v>
      </c>
      <c r="E21" s="213"/>
      <c r="F21" s="117">
        <v>8.75</v>
      </c>
      <c r="M21" s="4"/>
    </row>
    <row r="22" spans="2:13" ht="23" customHeight="1" x14ac:dyDescent="0.25">
      <c r="B22" s="26" t="s">
        <v>775</v>
      </c>
      <c r="C22" s="26"/>
      <c r="D22" s="26"/>
      <c r="E22" s="64" t="s">
        <v>18</v>
      </c>
      <c r="F22" s="65">
        <v>527.5</v>
      </c>
    </row>
    <row r="23" spans="2:13" ht="12.75" customHeight="1" x14ac:dyDescent="0.25">
      <c r="B23" s="219" t="s">
        <v>19</v>
      </c>
      <c r="C23" s="219"/>
      <c r="D23" s="219"/>
      <c r="E23" s="219"/>
      <c r="F23" s="26"/>
    </row>
    <row r="25" spans="2:13" x14ac:dyDescent="0.25">
      <c r="B25" s="8" t="s">
        <v>20</v>
      </c>
      <c r="C25" s="8"/>
    </row>
    <row r="26" spans="2:13" x14ac:dyDescent="0.25">
      <c r="B26" s="8" t="s">
        <v>21</v>
      </c>
      <c r="C26" s="8"/>
    </row>
    <row r="27" spans="2:13" x14ac:dyDescent="0.25">
      <c r="B27" s="8"/>
      <c r="C27" s="8"/>
    </row>
    <row r="28" spans="2:13" x14ac:dyDescent="0.25">
      <c r="B28" s="4"/>
      <c r="C28" s="4"/>
    </row>
    <row r="30" spans="2:13" x14ac:dyDescent="0.25">
      <c r="B30" s="8" t="s">
        <v>22</v>
      </c>
      <c r="C30" s="8"/>
      <c r="D30" s="8" t="s">
        <v>23</v>
      </c>
      <c r="E30" s="8"/>
      <c r="F30" s="8"/>
    </row>
  </sheetData>
  <mergeCells count="2">
    <mergeCell ref="B18:F18"/>
    <mergeCell ref="B23:E23"/>
  </mergeCells>
  <hyperlinks>
    <hyperlink ref="F6" r:id="rId1" xr:uid="{D773476D-CD36-4F09-A9A9-E84BDF17ECF7}"/>
  </hyperlinks>
  <pageMargins left="0.88" right="0.57999999999999996" top="0.5" bottom="0.5" header="0.5" footer="0.5"/>
  <pageSetup paperSize="9" scale="80" orientation="portrait" r:id="rId2"/>
  <headerFooter alignWithMargins="0"/>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D2BA-E569-4EE2-A5D6-A4F09F333553}">
  <sheetPr>
    <tabColor rgb="FF92D050"/>
    <pageSetUpPr fitToPage="1"/>
  </sheetPr>
  <dimension ref="B1:M29"/>
  <sheetViews>
    <sheetView showGridLines="0" topLeftCell="A7" zoomScaleNormal="100" workbookViewId="0">
      <selection activeCell="B18" sqref="B18:F18"/>
    </sheetView>
  </sheetViews>
  <sheetFormatPr defaultRowHeight="12.5" x14ac:dyDescent="0.25"/>
  <cols>
    <col min="1" max="1" width="12.1796875" customWidth="1"/>
    <col min="2" max="2" width="19.81640625" customWidth="1"/>
    <col min="3" max="3" width="48.7265625" customWidth="1"/>
    <col min="4" max="4" width="15" customWidth="1"/>
    <col min="5" max="5" width="14.1796875" customWidth="1"/>
    <col min="6" max="6" width="11.81640625" customWidth="1"/>
    <col min="7" max="7" width="10.81640625" bestFit="1" customWidth="1"/>
  </cols>
  <sheetData>
    <row r="1" spans="2:8" s="10" customFormat="1" ht="30" customHeight="1" x14ac:dyDescent="0.6">
      <c r="B1" s="6" t="s">
        <v>8</v>
      </c>
      <c r="C1" s="6"/>
      <c r="D1" s="7"/>
      <c r="E1" s="8"/>
      <c r="F1" s="9"/>
      <c r="H1" s="11"/>
    </row>
    <row r="2" spans="2:8" s="10" customFormat="1" ht="12.75" customHeight="1" x14ac:dyDescent="0.6">
      <c r="B2" s="6"/>
      <c r="C2" s="6"/>
      <c r="D2" s="7"/>
      <c r="E2" s="8"/>
      <c r="F2" s="12" t="s">
        <v>9</v>
      </c>
      <c r="H2" s="11"/>
    </row>
    <row r="3" spans="2:8" ht="12.75" customHeight="1" x14ac:dyDescent="0.25">
      <c r="B3" s="13"/>
      <c r="C3" s="13"/>
      <c r="D3" s="13"/>
      <c r="E3" s="14"/>
      <c r="F3" s="15" t="s">
        <v>10</v>
      </c>
    </row>
    <row r="4" spans="2:8" x14ac:dyDescent="0.25">
      <c r="B4" s="13"/>
      <c r="C4" s="13"/>
      <c r="D4" s="13"/>
      <c r="E4" s="14"/>
      <c r="F4" s="15" t="s">
        <v>11</v>
      </c>
    </row>
    <row r="5" spans="2:8" x14ac:dyDescent="0.25">
      <c r="B5" s="13"/>
      <c r="C5" s="13"/>
      <c r="E5" s="14"/>
      <c r="F5" s="15" t="s">
        <v>12</v>
      </c>
    </row>
    <row r="6" spans="2:8" ht="13.5" customHeight="1" x14ac:dyDescent="0.25">
      <c r="C6" s="16" t="s">
        <v>13</v>
      </c>
      <c r="E6" s="14"/>
      <c r="F6" s="17" t="s">
        <v>14</v>
      </c>
    </row>
    <row r="7" spans="2:8" ht="13.5" customHeight="1" x14ac:dyDescent="0.3">
      <c r="B7" s="18"/>
      <c r="C7" s="18"/>
      <c r="E7" s="14"/>
      <c r="F7" s="19"/>
      <c r="H7" s="13"/>
    </row>
    <row r="8" spans="2:8" ht="13.5" customHeight="1" x14ac:dyDescent="0.3">
      <c r="B8" s="20" t="str">
        <f>'202153'!B8</f>
        <v>2xdenken</v>
      </c>
      <c r="C8" s="20"/>
      <c r="F8" s="21"/>
      <c r="H8" s="13"/>
    </row>
    <row r="9" spans="2:8" ht="13.5" customHeight="1" x14ac:dyDescent="0.3">
      <c r="B9" s="20" t="str">
        <f>'202153'!B9</f>
        <v>Wienbelt Beheer B.V.</v>
      </c>
      <c r="C9" s="20"/>
      <c r="E9" s="22"/>
      <c r="F9" s="37"/>
    </row>
    <row r="10" spans="2:8" ht="13.5" customHeight="1" x14ac:dyDescent="0.3">
      <c r="B10" s="20" t="str">
        <f>'202153'!B10</f>
        <v>Snoeckgensheuvel 81</v>
      </c>
      <c r="C10" s="20"/>
      <c r="E10" s="22"/>
      <c r="F10" s="37"/>
    </row>
    <row r="11" spans="2:8" ht="13.5" customHeight="1" x14ac:dyDescent="0.3">
      <c r="B11" s="20" t="str">
        <f>'202153'!B11</f>
        <v>3817 HL Amersfoort</v>
      </c>
      <c r="C11" s="20"/>
    </row>
    <row r="12" spans="2:8" ht="13.5" customHeight="1" x14ac:dyDescent="0.3">
      <c r="C12" s="20"/>
    </row>
    <row r="13" spans="2:8" ht="13.5" customHeight="1" x14ac:dyDescent="0.25"/>
    <row r="14" spans="2:8" x14ac:dyDescent="0.25">
      <c r="E14" s="182" t="s">
        <v>62</v>
      </c>
      <c r="F14" s="182">
        <v>202182</v>
      </c>
    </row>
    <row r="15" spans="2:8" ht="14" x14ac:dyDescent="0.3">
      <c r="B15" s="20"/>
      <c r="C15" s="20"/>
      <c r="E15" s="182" t="s">
        <v>742</v>
      </c>
      <c r="F15" s="23"/>
    </row>
    <row r="16" spans="2:8" x14ac:dyDescent="0.25">
      <c r="B16" s="4"/>
      <c r="C16" s="4"/>
      <c r="E16" s="182" t="s">
        <v>184</v>
      </c>
      <c r="F16" s="182"/>
    </row>
    <row r="17" spans="2:13" x14ac:dyDescent="0.25">
      <c r="B17" s="4"/>
      <c r="C17" s="4"/>
      <c r="E17" s="182"/>
      <c r="F17" s="182"/>
    </row>
    <row r="18" spans="2:13" ht="17.25" customHeight="1" x14ac:dyDescent="0.25">
      <c r="B18" s="217" t="s">
        <v>903</v>
      </c>
      <c r="C18" s="218"/>
      <c r="D18" s="218"/>
      <c r="E18" s="218"/>
      <c r="F18" s="218"/>
    </row>
    <row r="19" spans="2:13" s="26" customFormat="1" ht="20.149999999999999" customHeight="1" x14ac:dyDescent="0.25">
      <c r="B19" s="24" t="s">
        <v>15</v>
      </c>
      <c r="C19" s="24"/>
      <c r="D19" s="24" t="s">
        <v>16</v>
      </c>
      <c r="E19" s="25" t="s">
        <v>17</v>
      </c>
      <c r="F19" s="29" t="s">
        <v>5</v>
      </c>
      <c r="M19" s="4"/>
    </row>
    <row r="20" spans="2:13" s="26" customFormat="1" ht="25" x14ac:dyDescent="0.25">
      <c r="B20" s="74" t="s">
        <v>897</v>
      </c>
      <c r="C20" s="74" t="s">
        <v>896</v>
      </c>
      <c r="D20" s="74" t="s">
        <v>898</v>
      </c>
      <c r="E20" s="74"/>
      <c r="F20" s="214" t="s">
        <v>899</v>
      </c>
      <c r="M20" s="4"/>
    </row>
    <row r="21" spans="2:13" ht="23" customHeight="1" x14ac:dyDescent="0.25">
      <c r="B21" s="26" t="s">
        <v>775</v>
      </c>
      <c r="C21" s="26"/>
      <c r="D21" s="26"/>
      <c r="E21" s="64" t="s">
        <v>18</v>
      </c>
      <c r="F21" s="65">
        <v>46.95</v>
      </c>
    </row>
    <row r="22" spans="2:13" ht="12.75" customHeight="1" x14ac:dyDescent="0.25">
      <c r="B22" s="219" t="s">
        <v>19</v>
      </c>
      <c r="C22" s="219"/>
      <c r="D22" s="219"/>
      <c r="E22" s="219"/>
      <c r="F22" s="26"/>
    </row>
    <row r="24" spans="2:13" x14ac:dyDescent="0.25">
      <c r="B24" s="8" t="s">
        <v>20</v>
      </c>
      <c r="C24" s="8"/>
    </row>
    <row r="25" spans="2:13" x14ac:dyDescent="0.25">
      <c r="B25" s="8" t="s">
        <v>21</v>
      </c>
      <c r="C25" s="8"/>
    </row>
    <row r="26" spans="2:13" x14ac:dyDescent="0.25">
      <c r="B26" s="8"/>
      <c r="C26" s="8"/>
    </row>
    <row r="27" spans="2:13" x14ac:dyDescent="0.25">
      <c r="B27" s="4"/>
      <c r="C27" s="4"/>
    </row>
    <row r="29" spans="2:13" x14ac:dyDescent="0.25">
      <c r="B29" s="8" t="s">
        <v>22</v>
      </c>
      <c r="C29" s="8"/>
      <c r="D29" s="8" t="s">
        <v>23</v>
      </c>
      <c r="E29" s="8"/>
      <c r="F29" s="8"/>
    </row>
  </sheetData>
  <mergeCells count="2">
    <mergeCell ref="B18:F18"/>
    <mergeCell ref="B22:E22"/>
  </mergeCells>
  <hyperlinks>
    <hyperlink ref="F6" r:id="rId1" xr:uid="{7DE45E99-A156-4681-ADE3-D1764EEF65C7}"/>
  </hyperlinks>
  <pageMargins left="0.88" right="0.57999999999999996" top="0.5" bottom="0.5" header="0.5" footer="0.5"/>
  <pageSetup paperSize="9" scale="80" orientation="portrait" r:id="rId2"/>
  <headerFooter alignWithMargins="0"/>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I86"/>
  <sheetViews>
    <sheetView tabSelected="1" topLeftCell="A28" zoomScaleNormal="100" workbookViewId="0">
      <selection activeCell="G73" sqref="G73"/>
    </sheetView>
  </sheetViews>
  <sheetFormatPr defaultRowHeight="12.5" x14ac:dyDescent="0.25"/>
  <cols>
    <col min="1" max="1" width="6" customWidth="1"/>
    <col min="2" max="2" width="9.81640625" customWidth="1"/>
    <col min="3" max="3" width="14.1796875" bestFit="1" customWidth="1"/>
    <col min="4" max="4" width="10" customWidth="1"/>
    <col min="5" max="5" width="56.81640625" customWidth="1"/>
    <col min="6" max="6" width="12.54296875" customWidth="1"/>
    <col min="7" max="7" width="14.6328125" customWidth="1"/>
    <col min="8" max="8" width="13.1796875" bestFit="1" customWidth="1"/>
    <col min="9" max="9" width="15.81640625" customWidth="1"/>
    <col min="10" max="10" width="11.81640625" bestFit="1" customWidth="1"/>
    <col min="14" max="14" width="11.1796875" bestFit="1" customWidth="1"/>
    <col min="15" max="15" width="13" customWidth="1"/>
  </cols>
  <sheetData>
    <row r="1" spans="2:9" ht="15.5" x14ac:dyDescent="0.35">
      <c r="E1" s="1" t="s">
        <v>0</v>
      </c>
    </row>
    <row r="2" spans="2:9" ht="13" x14ac:dyDescent="0.3">
      <c r="B2" s="2">
        <v>2021</v>
      </c>
    </row>
    <row r="3" spans="2:9" ht="13" x14ac:dyDescent="0.3">
      <c r="B3" s="3" t="s">
        <v>1</v>
      </c>
      <c r="C3" s="3" t="s">
        <v>2</v>
      </c>
      <c r="D3" s="3" t="s">
        <v>3</v>
      </c>
      <c r="E3" s="3" t="s">
        <v>4</v>
      </c>
      <c r="F3" s="3" t="s">
        <v>5</v>
      </c>
      <c r="G3" s="34" t="s">
        <v>6</v>
      </c>
      <c r="H3" s="3"/>
      <c r="I3" s="3"/>
    </row>
    <row r="4" spans="2:9" x14ac:dyDescent="0.25">
      <c r="B4" s="28">
        <v>202101</v>
      </c>
      <c r="C4" s="4" t="s">
        <v>55</v>
      </c>
      <c r="D4" s="4" t="s">
        <v>56</v>
      </c>
      <c r="E4" s="30" t="s">
        <v>57</v>
      </c>
      <c r="F4" s="66">
        <v>1080</v>
      </c>
      <c r="G4" s="4" t="s">
        <v>7</v>
      </c>
    </row>
    <row r="5" spans="2:9" x14ac:dyDescent="0.25">
      <c r="B5" s="28">
        <v>202102</v>
      </c>
      <c r="C5" s="4" t="s">
        <v>55</v>
      </c>
      <c r="D5" s="4" t="s">
        <v>270</v>
      </c>
      <c r="E5" s="30" t="s">
        <v>269</v>
      </c>
      <c r="F5" s="113">
        <v>360</v>
      </c>
      <c r="G5" s="4" t="s">
        <v>7</v>
      </c>
    </row>
    <row r="6" spans="2:9" x14ac:dyDescent="0.25">
      <c r="B6" s="28">
        <v>202103</v>
      </c>
      <c r="C6" s="4" t="s">
        <v>55</v>
      </c>
      <c r="D6" s="4" t="s">
        <v>271</v>
      </c>
      <c r="E6" s="30" t="s">
        <v>272</v>
      </c>
      <c r="F6" s="113">
        <v>200</v>
      </c>
      <c r="G6" s="4" t="s">
        <v>7</v>
      </c>
    </row>
    <row r="7" spans="2:9" x14ac:dyDescent="0.25">
      <c r="B7" s="28">
        <v>202104</v>
      </c>
      <c r="C7" s="4" t="s">
        <v>55</v>
      </c>
      <c r="D7" s="4" t="s">
        <v>271</v>
      </c>
      <c r="E7" s="30" t="s">
        <v>273</v>
      </c>
      <c r="F7" s="113">
        <v>240</v>
      </c>
      <c r="G7" s="4" t="s">
        <v>7</v>
      </c>
    </row>
    <row r="8" spans="2:9" x14ac:dyDescent="0.25">
      <c r="B8" s="28">
        <v>202105</v>
      </c>
      <c r="C8" s="4" t="s">
        <v>55</v>
      </c>
      <c r="D8" s="4" t="s">
        <v>274</v>
      </c>
      <c r="E8" s="30" t="s">
        <v>275</v>
      </c>
      <c r="F8" s="113">
        <v>440</v>
      </c>
      <c r="G8" s="4" t="s">
        <v>7</v>
      </c>
    </row>
    <row r="9" spans="2:9" x14ac:dyDescent="0.25">
      <c r="B9" s="28">
        <v>202106</v>
      </c>
      <c r="C9" s="4" t="s">
        <v>55</v>
      </c>
      <c r="D9" s="4" t="s">
        <v>276</v>
      </c>
      <c r="E9" s="30" t="s">
        <v>277</v>
      </c>
      <c r="F9" s="113">
        <v>240</v>
      </c>
      <c r="G9" s="4" t="s">
        <v>7</v>
      </c>
    </row>
    <row r="10" spans="2:9" x14ac:dyDescent="0.25">
      <c r="B10" s="28">
        <v>202107</v>
      </c>
      <c r="C10" s="4" t="s">
        <v>55</v>
      </c>
      <c r="D10" s="4" t="s">
        <v>279</v>
      </c>
      <c r="E10" s="30" t="s">
        <v>278</v>
      </c>
      <c r="F10" s="113">
        <v>600</v>
      </c>
      <c r="G10" s="4" t="s">
        <v>7</v>
      </c>
    </row>
    <row r="11" spans="2:9" x14ac:dyDescent="0.25">
      <c r="B11" s="28">
        <v>202108</v>
      </c>
      <c r="C11" s="4" t="s">
        <v>281</v>
      </c>
      <c r="D11" s="4" t="s">
        <v>280</v>
      </c>
      <c r="E11" s="30" t="s">
        <v>282</v>
      </c>
      <c r="F11" s="113">
        <v>760</v>
      </c>
      <c r="G11" s="4" t="s">
        <v>7</v>
      </c>
    </row>
    <row r="12" spans="2:9" x14ac:dyDescent="0.25">
      <c r="B12" s="28">
        <v>202109</v>
      </c>
      <c r="C12" s="4" t="s">
        <v>281</v>
      </c>
      <c r="D12" s="4" t="s">
        <v>283</v>
      </c>
      <c r="E12" s="30" t="s">
        <v>294</v>
      </c>
      <c r="F12" s="113">
        <v>200</v>
      </c>
      <c r="G12" s="4" t="s">
        <v>7</v>
      </c>
    </row>
    <row r="13" spans="2:9" x14ac:dyDescent="0.25">
      <c r="B13" s="28">
        <v>202110</v>
      </c>
      <c r="C13" s="4" t="s">
        <v>281</v>
      </c>
      <c r="D13" s="4" t="s">
        <v>284</v>
      </c>
      <c r="E13" s="30" t="s">
        <v>285</v>
      </c>
      <c r="F13" s="113">
        <v>972</v>
      </c>
      <c r="G13" s="4" t="s">
        <v>7</v>
      </c>
    </row>
    <row r="14" spans="2:9" x14ac:dyDescent="0.25">
      <c r="B14" s="28">
        <v>202111</v>
      </c>
      <c r="C14" s="4" t="s">
        <v>281</v>
      </c>
      <c r="D14" s="4" t="s">
        <v>286</v>
      </c>
      <c r="E14" s="114" t="s">
        <v>287</v>
      </c>
      <c r="F14" s="113">
        <v>440</v>
      </c>
      <c r="G14" s="4" t="s">
        <v>7</v>
      </c>
      <c r="I14" s="4"/>
    </row>
    <row r="15" spans="2:9" x14ac:dyDescent="0.25">
      <c r="B15" s="28">
        <v>202112</v>
      </c>
      <c r="C15" s="4" t="s">
        <v>281</v>
      </c>
      <c r="D15" s="4" t="s">
        <v>288</v>
      </c>
      <c r="E15" s="114" t="s">
        <v>289</v>
      </c>
      <c r="F15" s="113">
        <v>823.4</v>
      </c>
      <c r="G15" s="4" t="s">
        <v>7</v>
      </c>
      <c r="I15" s="4"/>
    </row>
    <row r="16" spans="2:9" x14ac:dyDescent="0.25">
      <c r="B16" s="28">
        <v>202113</v>
      </c>
      <c r="C16" s="4" t="s">
        <v>281</v>
      </c>
      <c r="D16" s="4" t="s">
        <v>288</v>
      </c>
      <c r="E16" s="114" t="s">
        <v>289</v>
      </c>
      <c r="F16" s="113">
        <v>763.4</v>
      </c>
      <c r="G16" s="4" t="s">
        <v>7</v>
      </c>
      <c r="I16" s="4"/>
    </row>
    <row r="17" spans="2:9" x14ac:dyDescent="0.25">
      <c r="B17" s="28">
        <v>202114</v>
      </c>
      <c r="C17" s="4" t="s">
        <v>281</v>
      </c>
      <c r="D17" s="4" t="s">
        <v>288</v>
      </c>
      <c r="E17" s="30" t="s">
        <v>291</v>
      </c>
      <c r="F17" s="113">
        <v>480</v>
      </c>
      <c r="G17" s="4" t="s">
        <v>7</v>
      </c>
      <c r="I17" s="4"/>
    </row>
    <row r="18" spans="2:9" x14ac:dyDescent="0.25">
      <c r="B18" s="28">
        <v>202115</v>
      </c>
      <c r="C18" s="4" t="s">
        <v>281</v>
      </c>
      <c r="D18" s="4" t="s">
        <v>288</v>
      </c>
      <c r="E18" s="30" t="s">
        <v>290</v>
      </c>
      <c r="F18" s="113">
        <v>480</v>
      </c>
      <c r="G18" s="4" t="s">
        <v>7</v>
      </c>
      <c r="I18" s="4"/>
    </row>
    <row r="19" spans="2:9" x14ac:dyDescent="0.25">
      <c r="B19" s="28">
        <v>202116</v>
      </c>
      <c r="C19" s="4" t="s">
        <v>281</v>
      </c>
      <c r="D19" s="4" t="s">
        <v>288</v>
      </c>
      <c r="E19" s="30" t="s">
        <v>292</v>
      </c>
      <c r="F19" s="113">
        <v>160</v>
      </c>
      <c r="G19" s="4" t="s">
        <v>7</v>
      </c>
      <c r="I19" s="4"/>
    </row>
    <row r="20" spans="2:9" x14ac:dyDescent="0.25">
      <c r="B20" s="28">
        <v>202117</v>
      </c>
      <c r="C20" s="4" t="s">
        <v>281</v>
      </c>
      <c r="D20" s="4" t="s">
        <v>288</v>
      </c>
      <c r="E20" s="30" t="s">
        <v>293</v>
      </c>
      <c r="F20" s="113">
        <v>32.25</v>
      </c>
      <c r="G20" s="4" t="s">
        <v>7</v>
      </c>
      <c r="I20" s="4"/>
    </row>
    <row r="21" spans="2:9" x14ac:dyDescent="0.25">
      <c r="B21" s="28">
        <v>202118</v>
      </c>
      <c r="C21" s="4" t="s">
        <v>331</v>
      </c>
      <c r="D21" s="4" t="s">
        <v>56</v>
      </c>
      <c r="E21" s="30" t="s">
        <v>57</v>
      </c>
      <c r="F21" s="113">
        <v>1000</v>
      </c>
      <c r="G21" s="4" t="s">
        <v>7</v>
      </c>
      <c r="I21" s="4"/>
    </row>
    <row r="22" spans="2:9" x14ac:dyDescent="0.25">
      <c r="B22" s="28">
        <v>202119</v>
      </c>
      <c r="C22" s="4" t="s">
        <v>331</v>
      </c>
      <c r="D22" s="4" t="s">
        <v>271</v>
      </c>
      <c r="E22" s="30" t="s">
        <v>272</v>
      </c>
      <c r="F22" s="113">
        <v>720</v>
      </c>
      <c r="G22" t="s">
        <v>7</v>
      </c>
      <c r="I22" s="4"/>
    </row>
    <row r="23" spans="2:9" x14ac:dyDescent="0.25">
      <c r="B23" s="28">
        <v>202120</v>
      </c>
      <c r="C23" s="4" t="s">
        <v>331</v>
      </c>
      <c r="D23" s="4" t="s">
        <v>271</v>
      </c>
      <c r="E23" s="30" t="s">
        <v>273</v>
      </c>
      <c r="F23" s="113">
        <v>240</v>
      </c>
      <c r="G23" t="s">
        <v>7</v>
      </c>
      <c r="I23" s="4"/>
    </row>
    <row r="24" spans="2:9" x14ac:dyDescent="0.25">
      <c r="B24" s="28">
        <v>202121</v>
      </c>
      <c r="C24" s="4" t="s">
        <v>390</v>
      </c>
      <c r="D24" s="4" t="s">
        <v>280</v>
      </c>
      <c r="E24" s="30" t="s">
        <v>282</v>
      </c>
      <c r="F24" s="113">
        <v>120</v>
      </c>
      <c r="G24" t="s">
        <v>7</v>
      </c>
      <c r="I24" s="4"/>
    </row>
    <row r="25" spans="2:9" x14ac:dyDescent="0.25">
      <c r="B25" s="28">
        <v>202122</v>
      </c>
      <c r="C25" s="4" t="s">
        <v>390</v>
      </c>
      <c r="D25" s="4" t="s">
        <v>274</v>
      </c>
      <c r="E25" s="30" t="s">
        <v>275</v>
      </c>
      <c r="F25" s="113">
        <v>240</v>
      </c>
      <c r="G25" t="s">
        <v>7</v>
      </c>
      <c r="I25" s="4"/>
    </row>
    <row r="26" spans="2:9" x14ac:dyDescent="0.25">
      <c r="B26" s="28">
        <v>202123</v>
      </c>
      <c r="C26" s="4" t="s">
        <v>390</v>
      </c>
      <c r="D26" s="4" t="s">
        <v>276</v>
      </c>
      <c r="E26" s="30" t="s">
        <v>461</v>
      </c>
      <c r="F26" s="113">
        <v>1160</v>
      </c>
      <c r="G26" s="4" t="s">
        <v>7</v>
      </c>
      <c r="I26" s="4"/>
    </row>
    <row r="27" spans="2:9" x14ac:dyDescent="0.25">
      <c r="B27" s="28">
        <v>202124</v>
      </c>
      <c r="C27" s="4" t="s">
        <v>390</v>
      </c>
      <c r="D27" s="4" t="s">
        <v>279</v>
      </c>
      <c r="E27" s="30" t="s">
        <v>278</v>
      </c>
      <c r="F27" s="113">
        <v>360</v>
      </c>
      <c r="G27" s="4" t="s">
        <v>7</v>
      </c>
      <c r="I27" s="4"/>
    </row>
    <row r="28" spans="2:9" x14ac:dyDescent="0.25">
      <c r="B28" s="28">
        <v>202125</v>
      </c>
      <c r="C28" s="4" t="s">
        <v>390</v>
      </c>
      <c r="D28" s="4" t="s">
        <v>286</v>
      </c>
      <c r="E28" s="30" t="s">
        <v>287</v>
      </c>
      <c r="F28" s="113">
        <v>440</v>
      </c>
      <c r="G28" s="4" t="s">
        <v>7</v>
      </c>
      <c r="I28" s="4"/>
    </row>
    <row r="29" spans="2:9" x14ac:dyDescent="0.25">
      <c r="B29" s="28">
        <v>202126</v>
      </c>
      <c r="C29" s="4" t="s">
        <v>390</v>
      </c>
      <c r="D29" s="4" t="s">
        <v>463</v>
      </c>
      <c r="E29" s="30" t="s">
        <v>462</v>
      </c>
      <c r="F29" s="113">
        <v>360</v>
      </c>
      <c r="G29" s="4" t="s">
        <v>7</v>
      </c>
      <c r="I29" s="4"/>
    </row>
    <row r="30" spans="2:9" x14ac:dyDescent="0.25">
      <c r="B30" s="28">
        <v>202127</v>
      </c>
      <c r="C30" s="4" t="s">
        <v>390</v>
      </c>
      <c r="D30" s="4" t="s">
        <v>284</v>
      </c>
      <c r="E30" s="30" t="s">
        <v>285</v>
      </c>
      <c r="F30" s="113">
        <v>412</v>
      </c>
      <c r="G30" s="4" t="s">
        <v>7</v>
      </c>
      <c r="I30" s="4"/>
    </row>
    <row r="31" spans="2:9" x14ac:dyDescent="0.25">
      <c r="B31" s="28">
        <v>202128</v>
      </c>
      <c r="C31" s="4" t="s">
        <v>458</v>
      </c>
      <c r="D31" s="4" t="s">
        <v>288</v>
      </c>
      <c r="E31" s="30" t="s">
        <v>289</v>
      </c>
      <c r="F31" s="113">
        <v>1303.4000000000001</v>
      </c>
      <c r="G31" t="s">
        <v>7</v>
      </c>
      <c r="I31" s="4"/>
    </row>
    <row r="32" spans="2:9" x14ac:dyDescent="0.25">
      <c r="B32" s="28">
        <v>202129</v>
      </c>
      <c r="C32" s="4" t="s">
        <v>458</v>
      </c>
      <c r="D32" s="4" t="s">
        <v>288</v>
      </c>
      <c r="E32" s="30" t="s">
        <v>460</v>
      </c>
      <c r="F32" s="113">
        <v>1166.8</v>
      </c>
      <c r="G32" t="s">
        <v>7</v>
      </c>
      <c r="I32" s="4"/>
    </row>
    <row r="33" spans="2:9" x14ac:dyDescent="0.25">
      <c r="B33" s="28">
        <v>202130</v>
      </c>
      <c r="C33" s="4" t="s">
        <v>458</v>
      </c>
      <c r="D33" s="4" t="s">
        <v>288</v>
      </c>
      <c r="E33" s="30" t="s">
        <v>459</v>
      </c>
      <c r="F33" s="113">
        <v>480</v>
      </c>
      <c r="G33" t="s">
        <v>7</v>
      </c>
      <c r="I33" s="4"/>
    </row>
    <row r="34" spans="2:9" x14ac:dyDescent="0.25">
      <c r="B34" s="28">
        <v>202131</v>
      </c>
      <c r="C34" s="4" t="s">
        <v>458</v>
      </c>
      <c r="D34" s="4" t="s">
        <v>288</v>
      </c>
      <c r="E34" s="30" t="s">
        <v>457</v>
      </c>
      <c r="F34" s="113">
        <v>480</v>
      </c>
      <c r="G34" t="s">
        <v>7</v>
      </c>
      <c r="I34" s="4"/>
    </row>
    <row r="35" spans="2:9" x14ac:dyDescent="0.25">
      <c r="B35" s="28">
        <v>202132</v>
      </c>
      <c r="C35" s="4" t="s">
        <v>325</v>
      </c>
      <c r="D35" s="4" t="s">
        <v>454</v>
      </c>
      <c r="E35" s="30" t="s">
        <v>455</v>
      </c>
      <c r="F35" s="113">
        <v>760</v>
      </c>
      <c r="G35" s="4" t="s">
        <v>7</v>
      </c>
      <c r="I35" s="4"/>
    </row>
    <row r="36" spans="2:9" x14ac:dyDescent="0.25">
      <c r="B36" s="28">
        <v>202133</v>
      </c>
      <c r="C36" s="4" t="s">
        <v>325</v>
      </c>
      <c r="D36" s="4" t="s">
        <v>453</v>
      </c>
      <c r="E36" s="30" t="s">
        <v>452</v>
      </c>
      <c r="F36" s="113">
        <v>7680</v>
      </c>
      <c r="G36" s="4" t="s">
        <v>7</v>
      </c>
      <c r="I36" s="4"/>
    </row>
    <row r="37" spans="2:9" x14ac:dyDescent="0.25">
      <c r="B37" s="28">
        <v>202134</v>
      </c>
      <c r="C37" s="4" t="s">
        <v>485</v>
      </c>
      <c r="D37" s="4" t="s">
        <v>584</v>
      </c>
      <c r="E37" s="30" t="s">
        <v>487</v>
      </c>
      <c r="F37" s="113">
        <v>257.5</v>
      </c>
      <c r="G37" s="4" t="s">
        <v>7</v>
      </c>
      <c r="I37" s="4"/>
    </row>
    <row r="38" spans="2:9" x14ac:dyDescent="0.25">
      <c r="B38" s="28">
        <v>202135</v>
      </c>
      <c r="C38" s="4" t="s">
        <v>485</v>
      </c>
      <c r="D38" s="4" t="s">
        <v>486</v>
      </c>
      <c r="E38" s="30" t="s">
        <v>488</v>
      </c>
      <c r="F38" s="113">
        <v>360</v>
      </c>
      <c r="G38" s="4" t="s">
        <v>7</v>
      </c>
      <c r="I38" s="4"/>
    </row>
    <row r="39" spans="2:9" x14ac:dyDescent="0.25">
      <c r="B39" s="28">
        <v>202136</v>
      </c>
      <c r="C39" s="4" t="s">
        <v>504</v>
      </c>
      <c r="D39" s="4" t="s">
        <v>453</v>
      </c>
      <c r="E39" s="30" t="s">
        <v>505</v>
      </c>
      <c r="F39" s="113">
        <v>360</v>
      </c>
      <c r="G39" s="4" t="s">
        <v>7</v>
      </c>
    </row>
    <row r="40" spans="2:9" x14ac:dyDescent="0.25">
      <c r="B40" s="28">
        <v>202137</v>
      </c>
      <c r="C40" s="4" t="s">
        <v>504</v>
      </c>
      <c r="D40" s="4" t="s">
        <v>453</v>
      </c>
      <c r="E40" s="30" t="s">
        <v>506</v>
      </c>
      <c r="F40" s="113">
        <v>360</v>
      </c>
      <c r="G40" s="4" t="s">
        <v>7</v>
      </c>
    </row>
    <row r="41" spans="2:9" x14ac:dyDescent="0.25">
      <c r="B41" s="28">
        <v>202138</v>
      </c>
      <c r="C41" s="4" t="s">
        <v>504</v>
      </c>
      <c r="D41" s="4" t="s">
        <v>453</v>
      </c>
      <c r="E41" s="30" t="s">
        <v>507</v>
      </c>
      <c r="F41" s="113">
        <v>360</v>
      </c>
      <c r="G41" s="4" t="s">
        <v>7</v>
      </c>
    </row>
    <row r="42" spans="2:9" x14ac:dyDescent="0.25">
      <c r="B42" s="28">
        <v>202139</v>
      </c>
      <c r="C42" s="4" t="s">
        <v>504</v>
      </c>
      <c r="D42" s="4" t="s">
        <v>453</v>
      </c>
      <c r="E42" s="30" t="s">
        <v>508</v>
      </c>
      <c r="F42" s="113">
        <v>360</v>
      </c>
      <c r="G42" s="4" t="s">
        <v>7</v>
      </c>
    </row>
    <row r="43" spans="2:9" x14ac:dyDescent="0.25">
      <c r="B43" s="28">
        <v>202140</v>
      </c>
      <c r="C43" s="4" t="s">
        <v>504</v>
      </c>
      <c r="D43" s="4" t="s">
        <v>454</v>
      </c>
      <c r="E43" s="30" t="s">
        <v>509</v>
      </c>
      <c r="F43" s="113">
        <v>1060</v>
      </c>
      <c r="G43" s="4" t="s">
        <v>7</v>
      </c>
    </row>
    <row r="44" spans="2:9" x14ac:dyDescent="0.25">
      <c r="B44" s="28">
        <v>202141</v>
      </c>
      <c r="C44" s="4" t="s">
        <v>504</v>
      </c>
      <c r="D44" s="4" t="s">
        <v>593</v>
      </c>
      <c r="E44" s="30" t="s">
        <v>739</v>
      </c>
      <c r="F44" s="113">
        <v>1908</v>
      </c>
      <c r="G44" s="4" t="s">
        <v>7</v>
      </c>
    </row>
    <row r="45" spans="2:9" x14ac:dyDescent="0.25">
      <c r="B45" s="28">
        <v>202142</v>
      </c>
      <c r="C45" s="4" t="s">
        <v>504</v>
      </c>
      <c r="D45" s="4" t="s">
        <v>586</v>
      </c>
      <c r="E45" s="30" t="s">
        <v>587</v>
      </c>
      <c r="F45" s="113">
        <v>800</v>
      </c>
      <c r="G45" s="4" t="s">
        <v>7</v>
      </c>
    </row>
    <row r="46" spans="2:9" x14ac:dyDescent="0.25">
      <c r="B46" s="28">
        <v>202143</v>
      </c>
      <c r="C46" s="4" t="s">
        <v>504</v>
      </c>
      <c r="D46" s="4" t="s">
        <v>271</v>
      </c>
      <c r="E46" s="30" t="s">
        <v>588</v>
      </c>
      <c r="F46" s="113">
        <v>760</v>
      </c>
      <c r="G46" s="4" t="s">
        <v>904</v>
      </c>
    </row>
    <row r="47" spans="2:9" x14ac:dyDescent="0.25">
      <c r="B47" s="28">
        <v>202144</v>
      </c>
      <c r="C47" s="4" t="s">
        <v>504</v>
      </c>
      <c r="D47" s="4" t="s">
        <v>454</v>
      </c>
      <c r="E47" s="30" t="s">
        <v>582</v>
      </c>
      <c r="F47" s="113">
        <v>760</v>
      </c>
      <c r="G47" s="4" t="s">
        <v>7</v>
      </c>
    </row>
    <row r="48" spans="2:9" x14ac:dyDescent="0.25">
      <c r="B48" s="28">
        <v>202145</v>
      </c>
      <c r="C48" s="4" t="s">
        <v>504</v>
      </c>
      <c r="D48" s="4" t="s">
        <v>454</v>
      </c>
      <c r="E48" s="30" t="s">
        <v>583</v>
      </c>
      <c r="F48" s="113">
        <v>400</v>
      </c>
      <c r="G48" s="4" t="s">
        <v>7</v>
      </c>
    </row>
    <row r="49" spans="2:7" x14ac:dyDescent="0.25">
      <c r="B49" s="28">
        <v>202146</v>
      </c>
      <c r="C49" s="4" t="s">
        <v>504</v>
      </c>
      <c r="D49" s="4" t="s">
        <v>463</v>
      </c>
      <c r="E49" s="30" t="s">
        <v>462</v>
      </c>
      <c r="F49" s="113">
        <v>120</v>
      </c>
      <c r="G49" s="4" t="s">
        <v>7</v>
      </c>
    </row>
    <row r="50" spans="2:7" x14ac:dyDescent="0.25">
      <c r="B50" s="28">
        <v>202147</v>
      </c>
      <c r="C50" s="4" t="s">
        <v>504</v>
      </c>
      <c r="D50" s="4" t="s">
        <v>274</v>
      </c>
      <c r="E50" s="30" t="s">
        <v>275</v>
      </c>
      <c r="F50" s="113">
        <v>120</v>
      </c>
      <c r="G50" s="4" t="s">
        <v>7</v>
      </c>
    </row>
    <row r="51" spans="2:7" x14ac:dyDescent="0.25">
      <c r="B51" s="28">
        <v>202148</v>
      </c>
      <c r="C51" s="4" t="s">
        <v>504</v>
      </c>
      <c r="D51" s="4" t="s">
        <v>288</v>
      </c>
      <c r="E51" s="30" t="s">
        <v>637</v>
      </c>
      <c r="F51" s="113">
        <v>522</v>
      </c>
      <c r="G51" s="4" t="s">
        <v>7</v>
      </c>
    </row>
    <row r="52" spans="2:7" x14ac:dyDescent="0.25">
      <c r="B52" s="28">
        <v>202149</v>
      </c>
      <c r="C52" s="4" t="s">
        <v>504</v>
      </c>
      <c r="D52" s="4" t="s">
        <v>288</v>
      </c>
      <c r="E52" s="30" t="s">
        <v>638</v>
      </c>
      <c r="F52" s="113">
        <v>322.25</v>
      </c>
      <c r="G52" t="s">
        <v>7</v>
      </c>
    </row>
    <row r="53" spans="2:7" x14ac:dyDescent="0.25">
      <c r="B53" s="28">
        <v>202150</v>
      </c>
      <c r="C53" s="4" t="s">
        <v>504</v>
      </c>
      <c r="D53" s="4" t="s">
        <v>288</v>
      </c>
      <c r="E53" s="30" t="s">
        <v>460</v>
      </c>
      <c r="F53" s="113">
        <v>1966.8</v>
      </c>
      <c r="G53" t="s">
        <v>7</v>
      </c>
    </row>
    <row r="54" spans="2:7" x14ac:dyDescent="0.25">
      <c r="B54" s="28">
        <v>202151</v>
      </c>
      <c r="C54" s="4" t="s">
        <v>504</v>
      </c>
      <c r="D54" s="4" t="s">
        <v>288</v>
      </c>
      <c r="E54" s="30" t="s">
        <v>289</v>
      </c>
      <c r="F54" s="113">
        <v>1463.4</v>
      </c>
      <c r="G54" s="4" t="s">
        <v>7</v>
      </c>
    </row>
    <row r="55" spans="2:7" x14ac:dyDescent="0.25">
      <c r="B55" s="28">
        <v>202152</v>
      </c>
      <c r="C55" s="4" t="s">
        <v>504</v>
      </c>
      <c r="D55" s="4" t="s">
        <v>288</v>
      </c>
      <c r="E55" s="30" t="s">
        <v>639</v>
      </c>
      <c r="F55" s="113">
        <v>405</v>
      </c>
      <c r="G55" s="4" t="s">
        <v>7</v>
      </c>
    </row>
    <row r="56" spans="2:7" x14ac:dyDescent="0.25">
      <c r="B56" s="28">
        <v>202153</v>
      </c>
      <c r="C56" s="4" t="s">
        <v>504</v>
      </c>
      <c r="D56" s="4" t="s">
        <v>288</v>
      </c>
      <c r="E56" s="30" t="s">
        <v>644</v>
      </c>
      <c r="F56" s="113">
        <v>527.5</v>
      </c>
      <c r="G56" t="s">
        <v>7</v>
      </c>
    </row>
    <row r="57" spans="2:7" x14ac:dyDescent="0.25">
      <c r="B57" s="28">
        <v>202154</v>
      </c>
      <c r="C57" s="4" t="s">
        <v>664</v>
      </c>
      <c r="D57" s="4" t="s">
        <v>593</v>
      </c>
      <c r="E57" s="30" t="s">
        <v>585</v>
      </c>
      <c r="F57" s="113">
        <v>1311.36</v>
      </c>
      <c r="G57" t="s">
        <v>7</v>
      </c>
    </row>
    <row r="58" spans="2:7" x14ac:dyDescent="0.25">
      <c r="B58" s="28">
        <v>202155</v>
      </c>
      <c r="C58" s="4" t="s">
        <v>664</v>
      </c>
      <c r="D58" s="4" t="s">
        <v>271</v>
      </c>
      <c r="E58" s="30" t="s">
        <v>588</v>
      </c>
      <c r="F58" s="113">
        <v>1960</v>
      </c>
      <c r="G58" t="s">
        <v>7</v>
      </c>
    </row>
    <row r="59" spans="2:7" x14ac:dyDescent="0.25">
      <c r="B59" s="28">
        <v>202156</v>
      </c>
      <c r="C59" s="4" t="s">
        <v>664</v>
      </c>
      <c r="D59" s="4" t="s">
        <v>274</v>
      </c>
      <c r="E59" s="30" t="s">
        <v>275</v>
      </c>
      <c r="F59" s="113">
        <v>360</v>
      </c>
      <c r="G59" t="s">
        <v>7</v>
      </c>
    </row>
    <row r="60" spans="2:7" x14ac:dyDescent="0.25">
      <c r="B60" s="28">
        <v>202157</v>
      </c>
      <c r="C60" s="4" t="s">
        <v>664</v>
      </c>
      <c r="D60" s="4" t="s">
        <v>454</v>
      </c>
      <c r="E60" s="30" t="s">
        <v>509</v>
      </c>
      <c r="F60" s="113">
        <v>1360</v>
      </c>
      <c r="G60" s="4" t="s">
        <v>7</v>
      </c>
    </row>
    <row r="61" spans="2:7" x14ac:dyDescent="0.25">
      <c r="B61" s="28">
        <v>202158</v>
      </c>
      <c r="C61" s="4" t="s">
        <v>664</v>
      </c>
      <c r="D61" s="4" t="s">
        <v>454</v>
      </c>
      <c r="E61" s="30" t="s">
        <v>582</v>
      </c>
      <c r="F61" s="113">
        <v>120</v>
      </c>
      <c r="G61" s="4" t="s">
        <v>7</v>
      </c>
    </row>
    <row r="62" spans="2:7" x14ac:dyDescent="0.25">
      <c r="B62" s="28">
        <v>202159</v>
      </c>
      <c r="C62" s="4" t="s">
        <v>664</v>
      </c>
      <c r="D62" s="4" t="s">
        <v>454</v>
      </c>
      <c r="E62" s="30" t="s">
        <v>583</v>
      </c>
      <c r="F62" s="113">
        <v>500</v>
      </c>
      <c r="G62" t="s">
        <v>7</v>
      </c>
    </row>
    <row r="63" spans="2:7" x14ac:dyDescent="0.25">
      <c r="B63" s="28">
        <v>202160</v>
      </c>
      <c r="C63" s="4" t="s">
        <v>664</v>
      </c>
      <c r="D63" s="4" t="s">
        <v>586</v>
      </c>
      <c r="E63" s="30" t="s">
        <v>587</v>
      </c>
      <c r="F63" s="113">
        <v>6504</v>
      </c>
      <c r="G63" s="4" t="s">
        <v>7</v>
      </c>
    </row>
    <row r="64" spans="2:7" x14ac:dyDescent="0.25">
      <c r="B64" s="28">
        <v>202161</v>
      </c>
      <c r="C64" s="4" t="s">
        <v>761</v>
      </c>
      <c r="D64" s="4" t="s">
        <v>453</v>
      </c>
      <c r="E64" s="30" t="s">
        <v>733</v>
      </c>
      <c r="F64" s="113">
        <v>840</v>
      </c>
      <c r="G64" s="4" t="s">
        <v>7</v>
      </c>
    </row>
    <row r="65" spans="2:8" x14ac:dyDescent="0.25">
      <c r="B65" s="28">
        <v>202162</v>
      </c>
      <c r="C65" s="4" t="s">
        <v>761</v>
      </c>
      <c r="D65" s="4" t="s">
        <v>453</v>
      </c>
      <c r="E65" s="30" t="s">
        <v>734</v>
      </c>
      <c r="F65" s="113">
        <v>320</v>
      </c>
      <c r="G65" s="4" t="s">
        <v>7</v>
      </c>
    </row>
    <row r="66" spans="2:8" x14ac:dyDescent="0.25">
      <c r="B66" s="28">
        <v>202163</v>
      </c>
      <c r="C66" s="4" t="s">
        <v>761</v>
      </c>
      <c r="D66" s="4" t="s">
        <v>453</v>
      </c>
      <c r="E66" s="30" t="s">
        <v>735</v>
      </c>
      <c r="F66" s="113">
        <v>680</v>
      </c>
      <c r="G66" s="4" t="s">
        <v>7</v>
      </c>
    </row>
    <row r="67" spans="2:8" x14ac:dyDescent="0.25">
      <c r="B67" s="28">
        <v>202164</v>
      </c>
      <c r="C67" s="4" t="s">
        <v>761</v>
      </c>
      <c r="D67" s="4" t="s">
        <v>453</v>
      </c>
      <c r="E67" s="30" t="s">
        <v>737</v>
      </c>
      <c r="F67" s="113">
        <v>520</v>
      </c>
      <c r="G67" s="4" t="s">
        <v>7</v>
      </c>
    </row>
    <row r="68" spans="2:8" x14ac:dyDescent="0.25">
      <c r="B68" s="28">
        <v>202165</v>
      </c>
      <c r="C68" s="4" t="s">
        <v>761</v>
      </c>
      <c r="D68" s="4" t="s">
        <v>453</v>
      </c>
      <c r="E68" s="30" t="s">
        <v>736</v>
      </c>
      <c r="F68" s="113">
        <v>560</v>
      </c>
      <c r="G68" s="4" t="s">
        <v>7</v>
      </c>
      <c r="H68" s="38"/>
    </row>
    <row r="69" spans="2:8" x14ac:dyDescent="0.25">
      <c r="B69" s="28">
        <v>202166</v>
      </c>
      <c r="C69" s="4" t="s">
        <v>761</v>
      </c>
      <c r="D69" s="4" t="s">
        <v>453</v>
      </c>
      <c r="E69" s="30" t="s">
        <v>738</v>
      </c>
      <c r="F69" s="113">
        <v>160</v>
      </c>
      <c r="G69" s="4" t="s">
        <v>7</v>
      </c>
    </row>
    <row r="70" spans="2:8" x14ac:dyDescent="0.25">
      <c r="B70" s="28">
        <v>202167</v>
      </c>
      <c r="C70" s="4" t="s">
        <v>761</v>
      </c>
      <c r="D70" s="4" t="s">
        <v>762</v>
      </c>
      <c r="E70" s="30" t="s">
        <v>769</v>
      </c>
      <c r="F70" s="113">
        <v>560</v>
      </c>
      <c r="G70" s="4" t="s">
        <v>904</v>
      </c>
    </row>
    <row r="71" spans="2:8" x14ac:dyDescent="0.25">
      <c r="B71" s="28">
        <v>202168</v>
      </c>
      <c r="C71" s="4" t="s">
        <v>761</v>
      </c>
      <c r="D71" s="4" t="s">
        <v>770</v>
      </c>
      <c r="E71" s="30" t="s">
        <v>780</v>
      </c>
      <c r="F71" s="113">
        <v>400</v>
      </c>
      <c r="G71" s="4" t="s">
        <v>7</v>
      </c>
    </row>
    <row r="72" spans="2:8" x14ac:dyDescent="0.25">
      <c r="B72" s="28">
        <v>202169</v>
      </c>
      <c r="C72" s="4" t="s">
        <v>761</v>
      </c>
      <c r="D72" s="4" t="s">
        <v>771</v>
      </c>
      <c r="E72" s="30" t="s">
        <v>772</v>
      </c>
      <c r="F72" s="113">
        <v>160</v>
      </c>
      <c r="G72" s="4" t="s">
        <v>7</v>
      </c>
    </row>
    <row r="73" spans="2:8" x14ac:dyDescent="0.25">
      <c r="B73" s="28">
        <v>202170</v>
      </c>
      <c r="C73" s="4" t="s">
        <v>761</v>
      </c>
      <c r="D73" s="4" t="s">
        <v>270</v>
      </c>
      <c r="E73" s="30" t="s">
        <v>798</v>
      </c>
      <c r="F73" s="113">
        <v>280</v>
      </c>
      <c r="G73" t="s">
        <v>7</v>
      </c>
    </row>
    <row r="74" spans="2:8" x14ac:dyDescent="0.25">
      <c r="B74" s="28">
        <v>202171</v>
      </c>
      <c r="C74" s="4" t="s">
        <v>761</v>
      </c>
      <c r="D74" s="4" t="s">
        <v>270</v>
      </c>
      <c r="E74" s="30" t="s">
        <v>799</v>
      </c>
      <c r="F74" s="113">
        <v>160</v>
      </c>
      <c r="G74" t="s">
        <v>7</v>
      </c>
    </row>
    <row r="75" spans="2:8" x14ac:dyDescent="0.25">
      <c r="B75" s="28">
        <v>202172</v>
      </c>
      <c r="C75" s="4" t="s">
        <v>761</v>
      </c>
      <c r="D75" s="4" t="s">
        <v>276</v>
      </c>
      <c r="E75" s="30" t="s">
        <v>812</v>
      </c>
      <c r="F75" s="113">
        <v>160</v>
      </c>
      <c r="G75" t="s">
        <v>7</v>
      </c>
    </row>
    <row r="76" spans="2:8" x14ac:dyDescent="0.25">
      <c r="B76" s="28">
        <v>202173</v>
      </c>
      <c r="C76" s="4" t="s">
        <v>761</v>
      </c>
      <c r="D76" s="4" t="s">
        <v>813</v>
      </c>
      <c r="E76" s="30" t="s">
        <v>814</v>
      </c>
      <c r="F76" s="113">
        <v>160</v>
      </c>
      <c r="G76" t="s">
        <v>7</v>
      </c>
    </row>
    <row r="77" spans="2:8" x14ac:dyDescent="0.25">
      <c r="B77" s="28">
        <v>202174</v>
      </c>
      <c r="C77" s="4" t="s">
        <v>761</v>
      </c>
      <c r="D77" s="4" t="s">
        <v>288</v>
      </c>
      <c r="E77" s="30" t="s">
        <v>654</v>
      </c>
      <c r="F77" s="113">
        <v>692</v>
      </c>
      <c r="G77" t="s">
        <v>7</v>
      </c>
    </row>
    <row r="78" spans="2:8" x14ac:dyDescent="0.25">
      <c r="B78" s="28">
        <v>202175</v>
      </c>
      <c r="C78" s="4" t="s">
        <v>761</v>
      </c>
      <c r="D78" s="4" t="s">
        <v>288</v>
      </c>
      <c r="E78" s="30" t="s">
        <v>835</v>
      </c>
      <c r="F78" s="5">
        <v>530</v>
      </c>
      <c r="G78" t="s">
        <v>7</v>
      </c>
    </row>
    <row r="79" spans="2:8" x14ac:dyDescent="0.25">
      <c r="B79" s="28">
        <v>202176</v>
      </c>
      <c r="C79" s="4" t="s">
        <v>761</v>
      </c>
      <c r="D79" s="4" t="s">
        <v>288</v>
      </c>
      <c r="E79" t="s">
        <v>846</v>
      </c>
      <c r="F79" s="5">
        <v>1326.8</v>
      </c>
      <c r="G79" t="s">
        <v>7</v>
      </c>
    </row>
    <row r="80" spans="2:8" x14ac:dyDescent="0.25">
      <c r="B80" s="28">
        <v>202177</v>
      </c>
      <c r="C80" s="4" t="s">
        <v>761</v>
      </c>
      <c r="D80" s="4" t="s">
        <v>288</v>
      </c>
      <c r="E80" t="s">
        <v>875</v>
      </c>
      <c r="F80" s="113">
        <v>1032.5</v>
      </c>
      <c r="G80" t="s">
        <v>7</v>
      </c>
    </row>
    <row r="81" spans="2:7" x14ac:dyDescent="0.25">
      <c r="B81" s="28">
        <v>202178</v>
      </c>
      <c r="C81" s="4" t="s">
        <v>761</v>
      </c>
      <c r="D81" s="4" t="s">
        <v>288</v>
      </c>
      <c r="E81" s="30" t="s">
        <v>874</v>
      </c>
      <c r="F81" s="113">
        <v>2586</v>
      </c>
      <c r="G81" t="s">
        <v>7</v>
      </c>
    </row>
    <row r="82" spans="2:7" x14ac:dyDescent="0.25">
      <c r="B82" s="28">
        <v>202179</v>
      </c>
      <c r="C82" s="4" t="s">
        <v>761</v>
      </c>
      <c r="D82" s="4" t="s">
        <v>288</v>
      </c>
      <c r="E82" t="s">
        <v>880</v>
      </c>
      <c r="F82" s="113">
        <v>405</v>
      </c>
      <c r="G82" t="s">
        <v>7</v>
      </c>
    </row>
    <row r="83" spans="2:7" x14ac:dyDescent="0.25">
      <c r="B83" s="28">
        <v>202180</v>
      </c>
      <c r="C83" s="4" t="s">
        <v>761</v>
      </c>
      <c r="D83" s="4" t="s">
        <v>288</v>
      </c>
      <c r="E83" s="4" t="s">
        <v>891</v>
      </c>
      <c r="F83" s="113">
        <v>662.4</v>
      </c>
      <c r="G83" s="4" t="s">
        <v>7</v>
      </c>
    </row>
    <row r="84" spans="2:7" x14ac:dyDescent="0.25">
      <c r="B84" s="28">
        <v>202181</v>
      </c>
      <c r="C84" s="4" t="s">
        <v>761</v>
      </c>
      <c r="D84" s="4" t="s">
        <v>288</v>
      </c>
      <c r="E84" s="4" t="s">
        <v>894</v>
      </c>
      <c r="F84" s="113">
        <v>527.5</v>
      </c>
      <c r="G84" s="4" t="s">
        <v>7</v>
      </c>
    </row>
    <row r="85" spans="2:7" x14ac:dyDescent="0.25">
      <c r="B85" s="28">
        <v>202182</v>
      </c>
      <c r="C85" s="4" t="s">
        <v>761</v>
      </c>
      <c r="D85" s="4" t="s">
        <v>288</v>
      </c>
      <c r="E85" s="4" t="s">
        <v>900</v>
      </c>
      <c r="F85" s="113">
        <v>46.95</v>
      </c>
      <c r="G85" s="4" t="s">
        <v>7</v>
      </c>
    </row>
    <row r="86" spans="2:7" x14ac:dyDescent="0.25">
      <c r="B86" s="28"/>
      <c r="C86" s="4"/>
      <c r="D86" s="4"/>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83</vt:i4>
      </vt:variant>
      <vt:variant>
        <vt:lpstr>Benoemde bereiken</vt:lpstr>
      </vt:variant>
      <vt:variant>
        <vt:i4>82</vt:i4>
      </vt:variant>
    </vt:vector>
  </HeadingPairs>
  <TitlesOfParts>
    <vt:vector size="165" baseType="lpstr">
      <vt:lpstr>202101</vt:lpstr>
      <vt:lpstr>202102</vt:lpstr>
      <vt:lpstr>202103</vt:lpstr>
      <vt:lpstr>202104</vt:lpstr>
      <vt:lpstr>202105</vt:lpstr>
      <vt:lpstr>202106</vt:lpstr>
      <vt:lpstr>202107</vt:lpstr>
      <vt:lpstr>202108</vt:lpstr>
      <vt:lpstr>202109</vt:lpstr>
      <vt:lpstr>202110 </vt:lpstr>
      <vt:lpstr>202111</vt:lpstr>
      <vt:lpstr>202112</vt:lpstr>
      <vt:lpstr>212113</vt:lpstr>
      <vt:lpstr>202114</vt:lpstr>
      <vt:lpstr>202115</vt:lpstr>
      <vt:lpstr>202116</vt:lpstr>
      <vt:lpstr>202117</vt:lpstr>
      <vt:lpstr>202118</vt:lpstr>
      <vt:lpstr>202119</vt:lpstr>
      <vt:lpstr>202120</vt:lpstr>
      <vt:lpstr>202121</vt:lpstr>
      <vt:lpstr>202122</vt:lpstr>
      <vt:lpstr>202123 </vt:lpstr>
      <vt:lpstr>202124</vt:lpstr>
      <vt:lpstr>202125</vt:lpstr>
      <vt:lpstr>202126</vt:lpstr>
      <vt:lpstr>202127</vt:lpstr>
      <vt:lpstr>202128</vt:lpstr>
      <vt:lpstr>202129</vt:lpstr>
      <vt:lpstr>202130</vt:lpstr>
      <vt:lpstr>202131</vt:lpstr>
      <vt:lpstr>202132</vt:lpstr>
      <vt:lpstr>202133</vt:lpstr>
      <vt:lpstr>202134</vt:lpstr>
      <vt:lpstr>202135</vt:lpstr>
      <vt:lpstr>202136</vt:lpstr>
      <vt:lpstr>202137</vt:lpstr>
      <vt:lpstr>202138</vt:lpstr>
      <vt:lpstr>202139</vt:lpstr>
      <vt:lpstr>202140</vt:lpstr>
      <vt:lpstr>202141</vt:lpstr>
      <vt:lpstr>202142 </vt:lpstr>
      <vt:lpstr>202143</vt:lpstr>
      <vt:lpstr>202144</vt:lpstr>
      <vt:lpstr>202145</vt:lpstr>
      <vt:lpstr>202146</vt:lpstr>
      <vt:lpstr>202147</vt:lpstr>
      <vt:lpstr>202148</vt:lpstr>
      <vt:lpstr>202149</vt:lpstr>
      <vt:lpstr>202150</vt:lpstr>
      <vt:lpstr>202151</vt:lpstr>
      <vt:lpstr>202152</vt:lpstr>
      <vt:lpstr>202153</vt:lpstr>
      <vt:lpstr>202154</vt:lpstr>
      <vt:lpstr>202155</vt:lpstr>
      <vt:lpstr>202156</vt:lpstr>
      <vt:lpstr>202157</vt:lpstr>
      <vt:lpstr>202158</vt:lpstr>
      <vt:lpstr>202159</vt:lpstr>
      <vt:lpstr>202160</vt:lpstr>
      <vt:lpstr>202161</vt:lpstr>
      <vt:lpstr>202162</vt:lpstr>
      <vt:lpstr>202163</vt:lpstr>
      <vt:lpstr>202164</vt:lpstr>
      <vt:lpstr>202165</vt:lpstr>
      <vt:lpstr>202166</vt:lpstr>
      <vt:lpstr>202167</vt:lpstr>
      <vt:lpstr>202168</vt:lpstr>
      <vt:lpstr>202169</vt:lpstr>
      <vt:lpstr>202170</vt:lpstr>
      <vt:lpstr>202171</vt:lpstr>
      <vt:lpstr>202172</vt:lpstr>
      <vt:lpstr>202173</vt:lpstr>
      <vt:lpstr>202174</vt:lpstr>
      <vt:lpstr>202175</vt:lpstr>
      <vt:lpstr>202176</vt:lpstr>
      <vt:lpstr>202177</vt:lpstr>
      <vt:lpstr>202178</vt:lpstr>
      <vt:lpstr>202179</vt:lpstr>
      <vt:lpstr>202180</vt:lpstr>
      <vt:lpstr>202181</vt:lpstr>
      <vt:lpstr>202182</vt:lpstr>
      <vt:lpstr>Uitstaaande facturen</vt:lpstr>
      <vt:lpstr>'202101'!Afdrukbereik</vt:lpstr>
      <vt:lpstr>'202102'!Afdrukbereik</vt:lpstr>
      <vt:lpstr>'202103'!Afdrukbereik</vt:lpstr>
      <vt:lpstr>'202104'!Afdrukbereik</vt:lpstr>
      <vt:lpstr>'202105'!Afdrukbereik</vt:lpstr>
      <vt:lpstr>'202106'!Afdrukbereik</vt:lpstr>
      <vt:lpstr>'202107'!Afdrukbereik</vt:lpstr>
      <vt:lpstr>'202108'!Afdrukbereik</vt:lpstr>
      <vt:lpstr>'202109'!Afdrukbereik</vt:lpstr>
      <vt:lpstr>'202110 '!Afdrukbereik</vt:lpstr>
      <vt:lpstr>'202111'!Afdrukbereik</vt:lpstr>
      <vt:lpstr>'202112'!Afdrukbereik</vt:lpstr>
      <vt:lpstr>'202114'!Afdrukbereik</vt:lpstr>
      <vt:lpstr>'202115'!Afdrukbereik</vt:lpstr>
      <vt:lpstr>'202116'!Afdrukbereik</vt:lpstr>
      <vt:lpstr>'202117'!Afdrukbereik</vt:lpstr>
      <vt:lpstr>'202118'!Afdrukbereik</vt:lpstr>
      <vt:lpstr>'202119'!Afdrukbereik</vt:lpstr>
      <vt:lpstr>'202120'!Afdrukbereik</vt:lpstr>
      <vt:lpstr>'202121'!Afdrukbereik</vt:lpstr>
      <vt:lpstr>'202122'!Afdrukbereik</vt:lpstr>
      <vt:lpstr>'202123 '!Afdrukbereik</vt:lpstr>
      <vt:lpstr>'202124'!Afdrukbereik</vt:lpstr>
      <vt:lpstr>'202125'!Afdrukbereik</vt:lpstr>
      <vt:lpstr>'202126'!Afdrukbereik</vt:lpstr>
      <vt:lpstr>'202127'!Afdrukbereik</vt:lpstr>
      <vt:lpstr>'202128'!Afdrukbereik</vt:lpstr>
      <vt:lpstr>'202129'!Afdrukbereik</vt:lpstr>
      <vt:lpstr>'202130'!Afdrukbereik</vt:lpstr>
      <vt:lpstr>'202131'!Afdrukbereik</vt:lpstr>
      <vt:lpstr>'202132'!Afdrukbereik</vt:lpstr>
      <vt:lpstr>'202133'!Afdrukbereik</vt:lpstr>
      <vt:lpstr>'202134'!Afdrukbereik</vt:lpstr>
      <vt:lpstr>'202135'!Afdrukbereik</vt:lpstr>
      <vt:lpstr>'202136'!Afdrukbereik</vt:lpstr>
      <vt:lpstr>'202137'!Afdrukbereik</vt:lpstr>
      <vt:lpstr>'202138'!Afdrukbereik</vt:lpstr>
      <vt:lpstr>'202139'!Afdrukbereik</vt:lpstr>
      <vt:lpstr>'202140'!Afdrukbereik</vt:lpstr>
      <vt:lpstr>'202141'!Afdrukbereik</vt:lpstr>
      <vt:lpstr>'202142 '!Afdrukbereik</vt:lpstr>
      <vt:lpstr>'202143'!Afdrukbereik</vt:lpstr>
      <vt:lpstr>'202144'!Afdrukbereik</vt:lpstr>
      <vt:lpstr>'202145'!Afdrukbereik</vt:lpstr>
      <vt:lpstr>'202146'!Afdrukbereik</vt:lpstr>
      <vt:lpstr>'202147'!Afdrukbereik</vt:lpstr>
      <vt:lpstr>'202148'!Afdrukbereik</vt:lpstr>
      <vt:lpstr>'202149'!Afdrukbereik</vt:lpstr>
      <vt:lpstr>'202150'!Afdrukbereik</vt:lpstr>
      <vt:lpstr>'202151'!Afdrukbereik</vt:lpstr>
      <vt:lpstr>'202152'!Afdrukbereik</vt:lpstr>
      <vt:lpstr>'202153'!Afdrukbereik</vt:lpstr>
      <vt:lpstr>'202154'!Afdrukbereik</vt:lpstr>
      <vt:lpstr>'202155'!Afdrukbereik</vt:lpstr>
      <vt:lpstr>'202156'!Afdrukbereik</vt:lpstr>
      <vt:lpstr>'202157'!Afdrukbereik</vt:lpstr>
      <vt:lpstr>'202158'!Afdrukbereik</vt:lpstr>
      <vt:lpstr>'202159'!Afdrukbereik</vt:lpstr>
      <vt:lpstr>'202160'!Afdrukbereik</vt:lpstr>
      <vt:lpstr>'202161'!Afdrukbereik</vt:lpstr>
      <vt:lpstr>'202162'!Afdrukbereik</vt:lpstr>
      <vt:lpstr>'202163'!Afdrukbereik</vt:lpstr>
      <vt:lpstr>'202164'!Afdrukbereik</vt:lpstr>
      <vt:lpstr>'202165'!Afdrukbereik</vt:lpstr>
      <vt:lpstr>'202166'!Afdrukbereik</vt:lpstr>
      <vt:lpstr>'202167'!Afdrukbereik</vt:lpstr>
      <vt:lpstr>'202168'!Afdrukbereik</vt:lpstr>
      <vt:lpstr>'202169'!Afdrukbereik</vt:lpstr>
      <vt:lpstr>'202170'!Afdrukbereik</vt:lpstr>
      <vt:lpstr>'202171'!Afdrukbereik</vt:lpstr>
      <vt:lpstr>'202172'!Afdrukbereik</vt:lpstr>
      <vt:lpstr>'202173'!Afdrukbereik</vt:lpstr>
      <vt:lpstr>'202174'!Afdrukbereik</vt:lpstr>
      <vt:lpstr>'202175'!Afdrukbereik</vt:lpstr>
      <vt:lpstr>'202176'!Afdrukbereik</vt:lpstr>
      <vt:lpstr>'202177'!Afdrukbereik</vt:lpstr>
      <vt:lpstr>'202178'!Afdrukbereik</vt:lpstr>
      <vt:lpstr>'202179'!Afdrukbereik</vt:lpstr>
      <vt:lpstr>'202180'!Afdrukbereik</vt:lpstr>
      <vt:lpstr>'202181'!Afdrukbereik</vt:lpstr>
      <vt:lpstr>'202182'!Afdrukbereik</vt:lpstr>
      <vt:lpstr>'212113'!Afdrukbereik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2021-12-22T08:12:40Z</cp:lastPrinted>
  <dcterms:created xsi:type="dcterms:W3CDTF">2019-02-06T18:22:29Z</dcterms:created>
  <dcterms:modified xsi:type="dcterms:W3CDTF">2026-04-19T18:32:22Z</dcterms:modified>
</cp:coreProperties>
</file>